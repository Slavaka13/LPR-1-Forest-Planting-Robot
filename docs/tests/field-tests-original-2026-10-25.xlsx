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yatel\Desktop\"/>
    </mc:Choice>
  </mc:AlternateContent>
  <bookViews>
    <workbookView xWindow="0" yWindow="0" windowWidth="17256" windowHeight="5772" firstSheet="1" activeTab="9"/>
  </bookViews>
  <sheets>
    <sheet name="Инструкция" sheetId="1" r:id="rId1"/>
    <sheet name="Паспорт" sheetId="2" r:id="rId2"/>
    <sheet name="Ходовая" sheetId="3" r:id="rId3"/>
    <sheet name="Посадка" sheetId="4" r:id="rId4"/>
    <sheet name="Дозатор" sheetId="5" r:id="rId5"/>
    <sheet name="Безопасность" sheetId="6" r:id="rId6"/>
    <sheet name="GPS" sheetId="7" r:id="rId7"/>
    <sheet name="Питание" sheetId="8" r:id="rId8"/>
    <sheet name="Полный цикл" sheetId="9" r:id="rId9"/>
    <sheet name="Итоги" sheetId="10" r:id="rId10"/>
  </sheets>
  <calcPr calcId="162913"/>
</workbook>
</file>

<file path=xl/calcChain.xml><?xml version="1.0" encoding="utf-8"?>
<calcChain xmlns="http://schemas.openxmlformats.org/spreadsheetml/2006/main">
  <c r="E5" i="5" l="1"/>
  <c r="E6" i="4"/>
  <c r="C18" i="10"/>
  <c r="C14" i="10"/>
  <c r="C13" i="10"/>
  <c r="C12" i="10"/>
  <c r="C11" i="10"/>
  <c r="C10" i="10"/>
  <c r="C9" i="10"/>
  <c r="C7" i="10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C17" i="10" s="1"/>
  <c r="E16" i="8"/>
  <c r="E15" i="8"/>
  <c r="E14" i="8"/>
  <c r="E13" i="8"/>
  <c r="E12" i="8"/>
  <c r="E11" i="8"/>
  <c r="E10" i="8"/>
  <c r="E9" i="8"/>
  <c r="E8" i="8"/>
  <c r="E7" i="8"/>
  <c r="E6" i="8"/>
  <c r="E5" i="8"/>
  <c r="C16" i="10" s="1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C19" i="4"/>
  <c r="E19" i="4" s="1"/>
  <c r="C18" i="4"/>
  <c r="E18" i="4" s="1"/>
  <c r="C17" i="4"/>
  <c r="E17" i="4" s="1"/>
  <c r="C16" i="4"/>
  <c r="E16" i="4" s="1"/>
  <c r="C15" i="4"/>
  <c r="E15" i="4" s="1"/>
  <c r="C14" i="4"/>
  <c r="E14" i="4" s="1"/>
  <c r="C13" i="4"/>
  <c r="E13" i="4" s="1"/>
  <c r="C12" i="4"/>
  <c r="E12" i="4" s="1"/>
  <c r="C11" i="4"/>
  <c r="E11" i="4" s="1"/>
  <c r="C10" i="4"/>
  <c r="E10" i="4" s="1"/>
  <c r="C9" i="4"/>
  <c r="E9" i="4" s="1"/>
  <c r="E8" i="4"/>
  <c r="E7" i="4"/>
  <c r="C5" i="4"/>
  <c r="E5" i="4" s="1"/>
  <c r="E14" i="3"/>
  <c r="E13" i="3"/>
  <c r="E12" i="3"/>
  <c r="E11" i="3"/>
  <c r="E10" i="3"/>
  <c r="E9" i="3"/>
  <c r="C8" i="10" l="1"/>
</calcChain>
</file>

<file path=xl/sharedStrings.xml><?xml version="1.0" encoding="utf-8"?>
<sst xmlns="http://schemas.openxmlformats.org/spreadsheetml/2006/main" count="242" uniqueCount="197">
  <si>
    <t>ЛПР-1 | ПОЛЕВЫЕ ИСПЫТАНИЯ</t>
  </si>
  <si>
    <t>Для кого</t>
  </si>
  <si>
    <t>Инженер/испытатель, выполняющий измерения на реальном роботе ЛПР-1.</t>
  </si>
  <si>
    <t>Как заполнять</t>
  </si>
  <si>
    <t>Заполните лист «Паспорт». На остальных листах заполняйте только ЖЁЛТЫЕ ячейки. Прочерки не вводите: если замера не было, оставьте ячейку пустой.</t>
  </si>
  <si>
    <t>Повторы</t>
  </si>
  <si>
    <t>Рекомендуется: ходовая — 5–10 заездов; посадка — 10–15; дозатор — 30; GPS — 10 точек; питание — по нескольку замеров в режимах; комплексный цикл — 10–15 операций.</t>
  </si>
  <si>
    <t>Реальные показатели</t>
  </si>
  <si>
    <t>Не подставляйте ожидаемые или расчётные числа вместо фактических замеров. Указывайте единицы измерения, исходные условия и возникающие неисправности.</t>
  </si>
  <si>
    <t>Безопасность</t>
  </si>
  <si>
    <t>Проверки движения — только при доступном аппаратном аварийном обесточивании, со свободной зоной и под контролем оператора. Потерю связи тестировать с вывешенными гусеницами; клин руками НЕ моделировать.</t>
  </si>
  <si>
    <t>Статусы</t>
  </si>
  <si>
    <t>Для дозатора и комплексного цикла: «Да» — операция успешна, «Нет» — ошибка. В остальных листах статус/заметки указывайте по факту.</t>
  </si>
  <si>
    <t>Итоги</t>
  </si>
  <si>
    <t>Лист «Итоги» считает средние значения и доли успеха автоматически. Пустые измерения не считаются нулевыми результатами.</t>
  </si>
  <si>
    <t>Для отчёта</t>
  </si>
  <si>
    <t>Сохраните оригинал Excel, фото измерения глубины штангенциркулем/линейкой, видео полного цикла, показания приборов и журналы GPS. Запишите дату, версию исходного кода (SHA) и ответственного.</t>
  </si>
  <si>
    <t>ПАСПОРТ ИСПЫТАНИЙ</t>
  </si>
  <si>
    <t>Модель</t>
  </si>
  <si>
    <t>ЛПР-1</t>
  </si>
  <si>
    <t>Дата испытаний</t>
  </si>
  <si>
    <t>Место / площадка</t>
  </si>
  <si>
    <t>Ответственный за испытания</t>
  </si>
  <si>
    <t>Дополнительный наблюдатель</t>
  </si>
  <si>
    <t>Версия ПО / Git SHA</t>
  </si>
  <si>
    <t>Напряжение / тип аккумулятора</t>
  </si>
  <si>
    <t>Масса робота, кг</t>
  </si>
  <si>
    <t>Температура воздуха, °C</t>
  </si>
  <si>
    <t>Тип грунта / плотность</t>
  </si>
  <si>
    <t>Влажность/состояние грунта</t>
  </si>
  <si>
    <t>Размер/тип семян</t>
  </si>
  <si>
    <t>Заправлено семян, шт.</t>
  </si>
  <si>
    <t>Заданная глубина посадки, мм</t>
  </si>
  <si>
    <t>Расстояние между посадками, м</t>
  </si>
  <si>
    <t>Режим управления (ручной/полуавтомат)</t>
  </si>
  <si>
    <t>Оборудование для измерений</t>
  </si>
  <si>
    <t>Ссылки на фото/видео</t>
  </si>
  <si>
    <t>Примечания</t>
  </si>
  <si>
    <t>01 | ГУСЕНИЧНАЯ ПЛАТФОРМА</t>
  </si>
  <si>
    <t>Каждый заезд: измерить участок и время; боковое отклонение — относительно прямой. Испытания выполняются на безопасной площадке.</t>
  </si>
  <si>
    <t>№</t>
  </si>
  <si>
    <t>Покрытие</t>
  </si>
  <si>
    <t>Дистанция, м</t>
  </si>
  <si>
    <t>Время, с</t>
  </si>
  <si>
    <t>Скорость, м/с (авто)</t>
  </si>
  <si>
    <t>Боковое откл., см</t>
  </si>
  <si>
    <t>Манёвр</t>
  </si>
  <si>
    <t>Результат</t>
  </si>
  <si>
    <t>Замечания</t>
  </si>
  <si>
    <t>02 | ГЛУБИНА И ХОД «КЛЮВА»</t>
  </si>
  <si>
    <t>Замерить ФАКТИЧЕСКУЮ глубину лунки после цикла; для каждого опыта указать грунт, время и результат. Заданная глубина берётся из паспорта.</t>
  </si>
  <si>
    <t>Грунт/условия</t>
  </si>
  <si>
    <t>Задано, мм (авто)</t>
  </si>
  <si>
    <t>Факт, мм</t>
  </si>
  <si>
    <t>Отклонение, мм (авто)</t>
  </si>
  <si>
    <t>Спуск, с</t>
  </si>
  <si>
    <t>Подъём, с</t>
  </si>
  <si>
    <t>Полный цикл, с</t>
  </si>
  <si>
    <t>Возврат наверх?</t>
  </si>
  <si>
    <t>03 | ПОДАЧА СЕМЯН</t>
  </si>
  <si>
    <t>30 циклов дозатора. Целевая норма по умолчанию 1 семя на цикл — если по заданию другая, заполнить колонку «Норма». Считайте фактические семена.</t>
  </si>
  <si>
    <t>Тип семян</t>
  </si>
  <si>
    <t>Норма, шт.</t>
  </si>
  <si>
    <t>Фактически, шт.</t>
  </si>
  <si>
    <t>Подача успешна? (авто)</t>
  </si>
  <si>
    <t>Пропуск? (авто)</t>
  </si>
  <si>
    <t>Лишние семена? (авто)</t>
  </si>
  <si>
    <t>04 | ПРОВЕРКА ЗАЩИТ И БЛОКИРОВОК</t>
  </si>
  <si>
    <t>Только на подготовленном стенде и с аварийным отключением. Гусеницы вывесить; заклинивание НЕ имитировать руками. Если тест опасен — отметить «Не проводилось».</t>
  </si>
  <si>
    <t>Проверка</t>
  </si>
  <si>
    <t>Ожидаемая реакция</t>
  </si>
  <si>
    <t>Наблюдаемая реакция</t>
  </si>
  <si>
    <t>Остановка, с</t>
  </si>
  <si>
    <t>Статус</t>
  </si>
  <si>
    <t>1</t>
  </si>
  <si>
    <t>Отключение ARM</t>
  </si>
  <si>
    <t>Немедленное прекращение движения</t>
  </si>
  <si>
    <t>2</t>
  </si>
  <si>
    <t>Потеря сигнала FlySky</t>
  </si>
  <si>
    <t>Остановка приводов (проверка фактического времени)</t>
  </si>
  <si>
    <t>3</t>
  </si>
  <si>
    <t>Восстановление радиосигнала</t>
  </si>
  <si>
    <t>Нет самопроизвольного старта без нейтрали</t>
  </si>
  <si>
    <t>4</t>
  </si>
  <si>
    <t>Посадка при неподвижном шасси</t>
  </si>
  <si>
    <t>Гусеницы заблокированы</t>
  </si>
  <si>
    <t>5</t>
  </si>
  <si>
    <t>Попытка манипулятора при посадке</t>
  </si>
  <si>
    <t>Одновременная работа не допускается</t>
  </si>
  <si>
    <t>6</t>
  </si>
  <si>
    <t>Прекращение UART-команд</t>
  </si>
  <si>
    <t>Остановка по таймауту прошивки</t>
  </si>
  <si>
    <t>7</t>
  </si>
  <si>
    <t>Отказ датчиков INA219</t>
  </si>
  <si>
    <t>Фиксация отказа и переход в предусмотренный режим</t>
  </si>
  <si>
    <t>8</t>
  </si>
  <si>
    <t>Реакция на препятствие для «клюва»</t>
  </si>
  <si>
    <t>Контроль перегрузки, остановка/ошибка без повреждения</t>
  </si>
  <si>
    <t>05 | GPS И ЗАПИСЬ ТОЧЕК</t>
  </si>
  <si>
    <t>Сравнить точку из posadka.csv с контрольной точкой; если эталонных координат нет, указать факт записи, HDOP и спутники, а погрешность оставить пустой.</t>
  </si>
  <si>
    <t>Контрольная точка</t>
  </si>
  <si>
    <t>Запись в CSV?</t>
  </si>
  <si>
    <t>Спутники, шт.</t>
  </si>
  <si>
    <t>HDOP</t>
  </si>
  <si>
    <t>Ошибка координат, м</t>
  </si>
  <si>
    <t>Время фиксации, с</t>
  </si>
  <si>
    <t>06 | ПИТАНИЕ И АВТОНОМНОСТЬ</t>
  </si>
  <si>
    <t>Измерить напряжение и ток источника питания (не перепутать с INA219 сервоприводов). Мощность рассчитывается по U×I. Для автономности укажите фактическое время.</t>
  </si>
  <si>
    <t>Режим</t>
  </si>
  <si>
    <t>Напряжение, В</t>
  </si>
  <si>
    <t>Ток, А</t>
  </si>
  <si>
    <t>Мощность, Вт (авто)</t>
  </si>
  <si>
    <t>Длительность режима, мин</t>
  </si>
  <si>
    <t>Просадка напряж., В</t>
  </si>
  <si>
    <t>07 | КОМПЛЕКСНОЕ ИСПЫТАНИЕ</t>
  </si>
  <si>
    <t>Замер одной посадки с переездом: движение → остановка → лунка → семя → подъём. Успех — все обязательные операции выполнены.</t>
  </si>
  <si>
    <t>Путь между точками, м</t>
  </si>
  <si>
    <t>Переезд, с</t>
  </si>
  <si>
    <t>Посадка, с</t>
  </si>
  <si>
    <t>Доп. задержки, с</t>
  </si>
  <si>
    <t>Всего, с (авто)</t>
  </si>
  <si>
    <t>Успешно?</t>
  </si>
  <si>
    <t>Вмешательство оператора?</t>
  </si>
  <si>
    <t>Причина отказа / замечания</t>
  </si>
  <si>
    <t>СВОДКА ФИЗИЧЕСКИХ ИСПЫТАНИЙ ЛПР-1</t>
  </si>
  <si>
    <t>Показатели появляются после ввода реальных замеров. Пустые серии остаются пустыми. Эта сводка не заменяет заключение испытателя.</t>
  </si>
  <si>
    <t>Раздел</t>
  </si>
  <si>
    <t>Показатель</t>
  </si>
  <si>
    <t>Значение (авто)</t>
  </si>
  <si>
    <t>Ходовая</t>
  </si>
  <si>
    <t>Средняя скорость, м/с</t>
  </si>
  <si>
    <t>Макс. боковое отклонение, см</t>
  </si>
  <si>
    <t>Посадка</t>
  </si>
  <si>
    <t>Средняя фактическая глубина, мм</t>
  </si>
  <si>
    <t>Среднее абсолютное отклонение, мм</t>
  </si>
  <si>
    <t>Среднее время посадки, с</t>
  </si>
  <si>
    <t>Дозатор</t>
  </si>
  <si>
    <t>Испытано подач, шт.</t>
  </si>
  <si>
    <t>Успешных подач, %</t>
  </si>
  <si>
    <t>Пройденных проверок, шт.</t>
  </si>
  <si>
    <t>Непройденных проверок, шт.</t>
  </si>
  <si>
    <t>GPS</t>
  </si>
  <si>
    <t>Точек в CSV, шт.</t>
  </si>
  <si>
    <t>Средняя ошибка координат, м</t>
  </si>
  <si>
    <t>Питание</t>
  </si>
  <si>
    <t>Средняя мощность измерений, Вт</t>
  </si>
  <si>
    <t>Полный цикл</t>
  </si>
  <si>
    <t>Среднее время с переездом, с</t>
  </si>
  <si>
    <t>Успешных полных циклов, %</t>
  </si>
  <si>
    <t>ПРИМЕЧАНИЕ</t>
  </si>
  <si>
    <t>Наличие заполненных значений само по себе не означает успешное прохождение испытаний: проверяйте ошибки и замечания на отдельных листах.</t>
  </si>
  <si>
    <t xml:space="preserve">Асфальт </t>
  </si>
  <si>
    <t xml:space="preserve"> 1 км</t>
  </si>
  <si>
    <t>штатно</t>
  </si>
  <si>
    <t>остановка робота</t>
  </si>
  <si>
    <t xml:space="preserve">остановка приводов </t>
  </si>
  <si>
    <t>лесной массив</t>
  </si>
  <si>
    <t>Харитонов И.М</t>
  </si>
  <si>
    <t xml:space="preserve"> отсутствовал</t>
  </si>
  <si>
    <t>42V</t>
  </si>
  <si>
    <t>42V li-ion</t>
  </si>
  <si>
    <t>0-+1</t>
  </si>
  <si>
    <t>Чернозем</t>
  </si>
  <si>
    <t xml:space="preserve">Семена ели </t>
  </si>
  <si>
    <t>10 м</t>
  </si>
  <si>
    <t>ручной</t>
  </si>
  <si>
    <t>рулетка</t>
  </si>
  <si>
    <t xml:space="preserve">Лесная почва </t>
  </si>
  <si>
    <t>1 км</t>
  </si>
  <si>
    <t>1-5 км/ч</t>
  </si>
  <si>
    <t>5 см</t>
  </si>
  <si>
    <t>6 см</t>
  </si>
  <si>
    <t xml:space="preserve">Танковые разворот, повороты находу </t>
  </si>
  <si>
    <t>Удволетворил</t>
  </si>
  <si>
    <t xml:space="preserve">на асфальте сильнее стирается ТПУ покрытия траков </t>
  </si>
  <si>
    <t xml:space="preserve">Смешанный грунт </t>
  </si>
  <si>
    <t xml:space="preserve">Была ручная регулировка скорости для преодолевания препятствий </t>
  </si>
  <si>
    <t>да</t>
  </si>
  <si>
    <t xml:space="preserve">Горшок с землей </t>
  </si>
  <si>
    <t xml:space="preserve">да </t>
  </si>
  <si>
    <t xml:space="preserve">Лесной грунт </t>
  </si>
  <si>
    <t xml:space="preserve">В реальных условиях посадки необходим локальный подбор места посадки, отслеживается задней камерой </t>
  </si>
  <si>
    <t xml:space="preserve">Семена садим по несколько штук </t>
  </si>
  <si>
    <t>нет</t>
  </si>
  <si>
    <t>прммерно 3 м</t>
  </si>
  <si>
    <t>моментально во время работы модуля</t>
  </si>
  <si>
    <t>Записывается полный трек пути+ отдельно записываются точки посадки, все сохраняется на верный ящик(флешку) и в память Rasberry PI</t>
  </si>
  <si>
    <t>постоянная рабоат</t>
  </si>
  <si>
    <t>20A</t>
  </si>
  <si>
    <t xml:space="preserve">возможна до 41V </t>
  </si>
  <si>
    <t xml:space="preserve">нету </t>
  </si>
  <si>
    <t xml:space="preserve">Отказа не было, ручное управление робота </t>
  </si>
  <si>
    <t>0,2-3</t>
  </si>
  <si>
    <t xml:space="preserve">Лесная почва( со снегом) </t>
  </si>
  <si>
    <t>7 см</t>
  </si>
  <si>
    <t>8 см</t>
  </si>
  <si>
    <t>Была ручная регулировка скорости для преодолевания препятствий, на снегу не проскальзывал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</si>
</sst>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>
    <font>
      <sz val="11"/>
      <name val="Carlito"/>
    </font>
    <font>
      <b/>
      <sz val="17"/>
      <color rgb="FFFFFFFF"/>
      <name val="Carlito"/>
    </font>
    <font>
      <b/>
      <sz val="11"/>
      <color rgb="FF183153"/>
      <name val="Carlito"/>
    </font>
    <font>
      <b/>
      <sz val="16"/>
      <color rgb="FFFFFFFF"/>
      <name val="Carlito"/>
    </font>
    <font>
      <sz val="11"/>
      <color rgb="FF183153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AF1F7"/>
      </patternFill>
    </fill>
    <fill>
      <patternFill patternType="solid">
        <fgColor rgb="FFFFF2C7"/>
      </patternFill>
    </fill>
    <fill>
      <patternFill patternType="solid">
        <fgColor rgb="FF245A81"/>
      </patternFill>
    </fill>
    <fill>
      <patternFill patternType="solid">
        <fgColor rgb="FFE7F5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2" fillId="3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vertical="center" wrapText="1"/>
    </xf>
    <xf numFmtId="0" fontId="0" fillId="4" borderId="0" xfId="1" applyNumberFormat="1" applyFont="1" applyFill="1" applyBorder="1" applyAlignment="1">
      <alignment wrapText="1"/>
    </xf>
    <xf numFmtId="0" fontId="5" fillId="5" borderId="0" xfId="1" applyNumberFormat="1" applyFont="1" applyFill="1" applyBorder="1"/>
    <xf numFmtId="0" fontId="5" fillId="5" borderId="0" xfId="1" applyNumberFormat="1" applyFont="1" applyFill="1" applyBorder="1" applyAlignment="1">
      <alignment wrapText="1"/>
    </xf>
    <xf numFmtId="0" fontId="5" fillId="5" borderId="0" xfId="1" applyNumberFormat="1" applyFont="1" applyFill="1" applyBorder="1" applyAlignment="1">
      <alignment vertical="center" wrapText="1"/>
    </xf>
    <xf numFmtId="0" fontId="0" fillId="4" borderId="0" xfId="1" applyNumberFormat="1" applyFont="1" applyFill="1" applyBorder="1" applyAlignment="1">
      <alignment vertical="center" wrapText="1"/>
    </xf>
    <xf numFmtId="164" fontId="0" fillId="6" borderId="0" xfId="1" applyNumberFormat="1" applyFont="1" applyFill="1" applyBorder="1" applyAlignment="1">
      <alignment vertical="center" wrapText="1"/>
    </xf>
    <xf numFmtId="0" fontId="0" fillId="6" borderId="0" xfId="1" applyNumberFormat="1" applyFont="1" applyFill="1" applyBorder="1" applyAlignment="1">
      <alignment vertical="center" wrapText="1"/>
    </xf>
    <xf numFmtId="2" fontId="0" fillId="6" borderId="0" xfId="1" applyNumberFormat="1" applyFont="1" applyFill="1" applyBorder="1"/>
    <xf numFmtId="0" fontId="2" fillId="0" borderId="0" xfId="1" applyNumberFormat="1" applyFont="1" applyFill="1" applyBorder="1"/>
    <xf numFmtId="0" fontId="1" fillId="2" borderId="0" xfId="1" applyNumberFormat="1" applyFont="1" applyFill="1" applyBorder="1"/>
    <xf numFmtId="0" fontId="3" fillId="2" borderId="0" xfId="1" applyNumberFormat="1" applyFont="1" applyFill="1" applyBorder="1"/>
    <xf numFmtId="0" fontId="3" fillId="2" borderId="0" xfId="1" applyNumberFormat="1" applyFont="1" applyFill="1" applyBorder="1" applyAlignment="1">
      <alignment vertical="center"/>
    </xf>
    <xf numFmtId="0" fontId="4" fillId="3" borderId="0" xfId="1" applyNumberFormat="1" applyFont="1" applyFill="1" applyBorder="1" applyAlignment="1">
      <alignment vertical="center" wrapText="1"/>
    </xf>
    <xf numFmtId="0" fontId="0" fillId="3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0" fillId="4" borderId="0" xfId="1" applyNumberFormat="1" applyFont="1" applyFill="1" applyBorder="1" applyAlignment="1">
      <alignment horizontal="center" vertical="center" wrapText="1"/>
    </xf>
    <xf numFmtId="0" fontId="0" fillId="4" borderId="0" xfId="1" applyNumberFormat="1" applyFont="1" applyFill="1" applyBorder="1" applyAlignment="1">
      <alignment horizontal="center" wrapText="1"/>
    </xf>
    <xf numFmtId="0" fontId="0" fillId="4" borderId="0" xfId="1" applyNumberFormat="1" applyFont="1" applyFill="1" applyBorder="1" applyAlignment="1">
      <alignment horizontal="left" wrapText="1"/>
    </xf>
    <xf numFmtId="16" fontId="0" fillId="4" borderId="0" xfId="1" applyNumberFormat="1" applyFont="1" applyFill="1" applyBorder="1" applyAlignment="1">
      <alignment vertical="center" wrapText="1"/>
    </xf>
    <xf numFmtId="16" fontId="0" fillId="4" borderId="0" xfId="1" applyNumberFormat="1" applyFont="1" applyFill="1" applyBorder="1" applyAlignment="1">
      <alignment horizontal="center" vertical="center" wrapText="1"/>
    </xf>
    <xf numFmtId="2" fontId="0" fillId="6" borderId="0" xfId="1" applyNumberFormat="1" applyFont="1" applyFill="1" applyBorder="1" applyAlignment="1">
      <alignment horizontal="right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3.8"/>
  <cols>
    <col min="1" max="1" width="25" customWidth="1"/>
    <col min="2" max="2" width="108" customWidth="1"/>
  </cols>
  <sheetData>
    <row r="1" spans="1:6" ht="31.95" customHeight="1">
      <c r="A1" s="12" t="s">
        <v>0</v>
      </c>
      <c r="B1" s="12"/>
      <c r="C1" s="12"/>
      <c r="D1" s="12"/>
      <c r="E1" s="12"/>
      <c r="F1" s="12"/>
    </row>
    <row r="3" spans="1:6" ht="46.35" customHeight="1">
      <c r="A3" s="1" t="s">
        <v>1</v>
      </c>
      <c r="B3" s="2" t="s">
        <v>2</v>
      </c>
    </row>
    <row r="4" spans="1:6" ht="46.35" customHeight="1">
      <c r="A4" s="1" t="s">
        <v>3</v>
      </c>
      <c r="B4" s="2" t="s">
        <v>4</v>
      </c>
    </row>
    <row r="5" spans="1:6" ht="46.35" customHeight="1">
      <c r="A5" s="1" t="s">
        <v>5</v>
      </c>
      <c r="B5" s="2" t="s">
        <v>6</v>
      </c>
    </row>
    <row r="6" spans="1:6" ht="46.35" customHeight="1">
      <c r="A6" s="1" t="s">
        <v>7</v>
      </c>
      <c r="B6" s="2" t="s">
        <v>8</v>
      </c>
    </row>
    <row r="7" spans="1:6" ht="46.35" customHeight="1">
      <c r="A7" s="1" t="s">
        <v>9</v>
      </c>
      <c r="B7" s="2" t="s">
        <v>10</v>
      </c>
    </row>
    <row r="8" spans="1:6" ht="46.35" customHeight="1">
      <c r="A8" s="1" t="s">
        <v>11</v>
      </c>
      <c r="B8" s="2" t="s">
        <v>12</v>
      </c>
    </row>
    <row r="9" spans="1:6" ht="46.35" customHeight="1">
      <c r="A9" s="1" t="s">
        <v>13</v>
      </c>
      <c r="B9" s="2" t="s">
        <v>14</v>
      </c>
    </row>
    <row r="10" spans="1:6" ht="46.35" customHeight="1">
      <c r="A10" s="1" t="s">
        <v>15</v>
      </c>
      <c r="B10" s="2" t="s">
        <v>16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7" workbookViewId="0">
      <selection activeCell="B13" sqref="B13"/>
    </sheetView>
  </sheetViews>
  <sheetFormatPr defaultRowHeight="13.8"/>
  <cols>
    <col min="1" max="1" width="40" customWidth="1"/>
    <col min="2" max="2" width="76" customWidth="1"/>
  </cols>
  <sheetData>
    <row r="1" spans="1:4" ht="28.8" customHeight="1">
      <c r="A1" s="13" t="s">
        <v>17</v>
      </c>
      <c r="B1" s="13"/>
      <c r="C1" s="13"/>
      <c r="D1" s="13"/>
    </row>
    <row r="3" spans="1:4" ht="24" customHeight="1">
      <c r="A3" s="1" t="s">
        <v>18</v>
      </c>
      <c r="B3" s="3" t="s">
        <v>19</v>
      </c>
    </row>
    <row r="4" spans="1:4" ht="24" customHeight="1">
      <c r="A4" s="1" t="s">
        <v>20</v>
      </c>
      <c r="B4" s="3"/>
    </row>
    <row r="5" spans="1:4" ht="24" customHeight="1">
      <c r="A5" s="1" t="s">
        <v>21</v>
      </c>
      <c r="B5" s="3" t="s">
        <v>156</v>
      </c>
    </row>
    <row r="6" spans="1:4" ht="24" customHeight="1">
      <c r="A6" s="1" t="s">
        <v>22</v>
      </c>
      <c r="B6" s="3" t="s">
        <v>157</v>
      </c>
    </row>
    <row r="7" spans="1:4" ht="24" customHeight="1">
      <c r="A7" s="1" t="s">
        <v>23</v>
      </c>
      <c r="B7" s="3" t="s">
        <v>158</v>
      </c>
    </row>
    <row r="8" spans="1:4" ht="24" customHeight="1">
      <c r="A8" s="1" t="s">
        <v>24</v>
      </c>
      <c r="B8" s="3"/>
    </row>
    <row r="9" spans="1:4" ht="24" customHeight="1">
      <c r="A9" s="1" t="s">
        <v>25</v>
      </c>
      <c r="B9" s="3" t="s">
        <v>160</v>
      </c>
    </row>
    <row r="10" spans="1:4" ht="24" customHeight="1">
      <c r="A10" s="1" t="s">
        <v>26</v>
      </c>
      <c r="B10" s="20">
        <v>14</v>
      </c>
    </row>
    <row r="11" spans="1:4" ht="24" customHeight="1">
      <c r="A11" s="1" t="s">
        <v>27</v>
      </c>
      <c r="B11" s="3" t="s">
        <v>161</v>
      </c>
    </row>
    <row r="12" spans="1:4" ht="24" customHeight="1">
      <c r="A12" s="1" t="s">
        <v>28</v>
      </c>
      <c r="B12" s="3" t="s">
        <v>162</v>
      </c>
    </row>
    <row r="13" spans="1:4" ht="24" customHeight="1">
      <c r="A13" s="1" t="s">
        <v>29</v>
      </c>
      <c r="B13" s="3"/>
    </row>
    <row r="14" spans="1:4" ht="24" customHeight="1">
      <c r="A14" s="1" t="s">
        <v>30</v>
      </c>
      <c r="B14" s="3" t="s">
        <v>163</v>
      </c>
    </row>
    <row r="15" spans="1:4" ht="24" customHeight="1">
      <c r="A15" s="1" t="s">
        <v>31</v>
      </c>
      <c r="B15" s="20">
        <v>1000</v>
      </c>
    </row>
    <row r="16" spans="1:4" ht="24" customHeight="1">
      <c r="A16" s="1" t="s">
        <v>32</v>
      </c>
      <c r="B16" s="20">
        <v>15</v>
      </c>
    </row>
    <row r="17" spans="1:2" ht="24" customHeight="1">
      <c r="A17" s="1" t="s">
        <v>33</v>
      </c>
      <c r="B17" s="3" t="s">
        <v>164</v>
      </c>
    </row>
    <row r="18" spans="1:2" ht="24" customHeight="1">
      <c r="A18" s="1" t="s">
        <v>34</v>
      </c>
      <c r="B18" s="3" t="s">
        <v>165</v>
      </c>
    </row>
    <row r="19" spans="1:2" ht="24" customHeight="1">
      <c r="A19" s="1" t="s">
        <v>35</v>
      </c>
      <c r="B19" s="3" t="s">
        <v>166</v>
      </c>
    </row>
    <row r="20" spans="1:2" ht="24" customHeight="1">
      <c r="A20" s="1" t="s">
        <v>36</v>
      </c>
      <c r="B20" s="3"/>
    </row>
    <row r="21" spans="1:2" ht="24" customHeight="1">
      <c r="A21" s="1" t="s">
        <v>37</v>
      </c>
      <c r="B21" s="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4" topLeftCell="A5" activePane="bottomLeft" state="frozen"/>
      <selection pane="bottomLeft" activeCell="G10" sqref="G10"/>
    </sheetView>
  </sheetViews>
  <sheetFormatPr defaultRowHeight="13.8"/>
  <cols>
    <col min="1" max="1" width="7" customWidth="1"/>
    <col min="2" max="2" width="19" customWidth="1"/>
    <col min="3" max="3" width="18" customWidth="1"/>
    <col min="4" max="4" width="16" customWidth="1"/>
    <col min="5" max="5" width="21" customWidth="1"/>
    <col min="6" max="6" width="23" customWidth="1"/>
    <col min="7" max="7" width="22" customWidth="1"/>
    <col min="8" max="8" width="18" customWidth="1"/>
    <col min="9" max="9" width="40" customWidth="1"/>
  </cols>
  <sheetData>
    <row r="1" spans="1:9" ht="34.049999999999997" customHeight="1">
      <c r="A1" s="14" t="s">
        <v>38</v>
      </c>
      <c r="B1" s="14"/>
      <c r="C1" s="14"/>
      <c r="D1" s="14"/>
      <c r="E1" s="14"/>
      <c r="F1" s="14"/>
      <c r="G1" s="14"/>
      <c r="H1" s="14"/>
      <c r="I1" s="14"/>
    </row>
    <row r="2" spans="1:9" ht="42" customHeight="1">
      <c r="A2" s="15" t="s">
        <v>39</v>
      </c>
      <c r="B2" s="15"/>
      <c r="C2" s="15"/>
      <c r="D2" s="15"/>
      <c r="E2" s="15"/>
      <c r="F2" s="15"/>
      <c r="G2" s="15"/>
      <c r="H2" s="15"/>
      <c r="I2" s="15"/>
    </row>
    <row r="4" spans="1:9" ht="40.049999999999997" customHeight="1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</row>
    <row r="5" spans="1:9" ht="27" customHeight="1">
      <c r="A5" s="2">
        <v>1</v>
      </c>
      <c r="B5" s="7" t="s">
        <v>151</v>
      </c>
      <c r="C5" s="7" t="s">
        <v>152</v>
      </c>
      <c r="D5" s="18">
        <v>1800</v>
      </c>
      <c r="E5" s="8" t="s">
        <v>169</v>
      </c>
      <c r="F5" s="7" t="s">
        <v>170</v>
      </c>
      <c r="G5" s="7" t="s">
        <v>172</v>
      </c>
      <c r="H5" s="7" t="s">
        <v>173</v>
      </c>
      <c r="I5" s="7" t="s">
        <v>174</v>
      </c>
    </row>
    <row r="6" spans="1:9" ht="27" customHeight="1">
      <c r="A6" s="2">
        <v>2</v>
      </c>
      <c r="B6" s="7" t="s">
        <v>167</v>
      </c>
      <c r="C6" s="7" t="s">
        <v>168</v>
      </c>
      <c r="D6" s="18">
        <v>2400</v>
      </c>
      <c r="E6" s="8" t="s">
        <v>169</v>
      </c>
      <c r="F6" s="7" t="s">
        <v>171</v>
      </c>
      <c r="G6" s="7" t="s">
        <v>172</v>
      </c>
      <c r="H6" s="7" t="s">
        <v>173</v>
      </c>
      <c r="I6" s="7" t="s">
        <v>176</v>
      </c>
    </row>
    <row r="7" spans="1:9" ht="27" customHeight="1">
      <c r="A7" s="2">
        <v>3</v>
      </c>
      <c r="B7" s="7" t="s">
        <v>175</v>
      </c>
      <c r="C7" s="7" t="s">
        <v>168</v>
      </c>
      <c r="D7" s="18">
        <v>2700</v>
      </c>
      <c r="E7" s="8" t="s">
        <v>169</v>
      </c>
      <c r="F7" s="7" t="s">
        <v>194</v>
      </c>
      <c r="G7" s="7" t="s">
        <v>172</v>
      </c>
      <c r="H7" s="7" t="s">
        <v>173</v>
      </c>
      <c r="I7" s="7" t="s">
        <v>176</v>
      </c>
    </row>
    <row r="8" spans="1:9" ht="27" customHeight="1">
      <c r="A8" s="2">
        <v>4</v>
      </c>
      <c r="B8" s="7" t="s">
        <v>193</v>
      </c>
      <c r="C8" s="7" t="s">
        <v>168</v>
      </c>
      <c r="D8" s="18">
        <v>2100</v>
      </c>
      <c r="E8" s="8" t="s">
        <v>169</v>
      </c>
      <c r="F8" s="7" t="s">
        <v>195</v>
      </c>
      <c r="G8" s="7" t="s">
        <v>172</v>
      </c>
      <c r="H8" s="7" t="s">
        <v>173</v>
      </c>
      <c r="I8" s="7" t="s">
        <v>196</v>
      </c>
    </row>
    <row r="9" spans="1:9" ht="27" customHeight="1">
      <c r="A9" s="2">
        <v>5</v>
      </c>
      <c r="B9" s="7"/>
      <c r="C9" s="7"/>
      <c r="D9" s="7"/>
      <c r="E9" s="8" t="str">
        <f t="shared" ref="E5:E14" si="0">IF(OR(C9="",D9="",D9=0),"",C9/D9)</f>
        <v/>
      </c>
      <c r="F9" s="7"/>
      <c r="G9" s="7"/>
      <c r="H9" s="7"/>
      <c r="I9" s="7"/>
    </row>
    <row r="10" spans="1:9" ht="27" customHeight="1">
      <c r="A10" s="2">
        <v>6</v>
      </c>
      <c r="B10" s="7"/>
      <c r="C10" s="7"/>
      <c r="D10" s="7"/>
      <c r="E10" s="8" t="str">
        <f t="shared" si="0"/>
        <v/>
      </c>
      <c r="F10" s="7"/>
      <c r="G10" s="7"/>
      <c r="H10" s="7"/>
      <c r="I10" s="7"/>
    </row>
    <row r="11" spans="1:9" ht="27" customHeight="1">
      <c r="A11" s="2">
        <v>7</v>
      </c>
      <c r="B11" s="7"/>
      <c r="C11" s="7"/>
      <c r="D11" s="7"/>
      <c r="E11" s="8" t="str">
        <f t="shared" si="0"/>
        <v/>
      </c>
      <c r="F11" s="7"/>
      <c r="G11" s="7"/>
      <c r="H11" s="7"/>
      <c r="I11" s="7"/>
    </row>
    <row r="12" spans="1:9" ht="27" customHeight="1">
      <c r="A12" s="2">
        <v>8</v>
      </c>
      <c r="B12" s="7"/>
      <c r="C12" s="7"/>
      <c r="D12" s="7"/>
      <c r="E12" s="8" t="str">
        <f t="shared" si="0"/>
        <v/>
      </c>
      <c r="F12" s="7"/>
      <c r="G12" s="7"/>
      <c r="H12" s="7"/>
      <c r="I12" s="7"/>
    </row>
    <row r="13" spans="1:9" ht="27" customHeight="1">
      <c r="A13" s="2">
        <v>9</v>
      </c>
      <c r="B13" s="7"/>
      <c r="C13" s="7"/>
      <c r="D13" s="7"/>
      <c r="E13" s="8" t="str">
        <f t="shared" si="0"/>
        <v/>
      </c>
      <c r="F13" s="7"/>
      <c r="G13" s="7"/>
      <c r="H13" s="7"/>
      <c r="I13" s="7"/>
    </row>
    <row r="14" spans="1:9" ht="27" customHeight="1">
      <c r="A14" s="2">
        <v>10</v>
      </c>
      <c r="B14" s="7"/>
      <c r="C14" s="7"/>
      <c r="D14" s="7"/>
      <c r="E14" s="8" t="str">
        <f t="shared" si="0"/>
        <v/>
      </c>
      <c r="F14" s="7"/>
      <c r="G14" s="7"/>
      <c r="H14" s="7"/>
      <c r="I14" s="7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C1" workbookViewId="0">
      <pane ySplit="4" topLeftCell="A5" activePane="bottomLeft" state="frozen"/>
      <selection pane="bottomLeft" activeCell="J5" sqref="J5"/>
    </sheetView>
  </sheetViews>
  <sheetFormatPr defaultRowHeight="13.8"/>
  <cols>
    <col min="1" max="1" width="7" customWidth="1"/>
    <col min="2" max="2" width="23" customWidth="1"/>
    <col min="3" max="3" width="19" customWidth="1"/>
    <col min="4" max="4" width="16" customWidth="1"/>
    <col min="5" max="5" width="22" customWidth="1"/>
    <col min="6" max="7" width="16" customWidth="1"/>
    <col min="8" max="9" width="20" customWidth="1"/>
    <col min="10" max="10" width="40" customWidth="1"/>
  </cols>
  <sheetData>
    <row r="1" spans="1:10" ht="34.049999999999997" customHeight="1">
      <c r="A1" s="14" t="s">
        <v>49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42" customHeight="1">
      <c r="A2" s="15" t="s">
        <v>50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40.049999999999997" customHeight="1">
      <c r="A4" s="6" t="s">
        <v>40</v>
      </c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  <c r="H4" s="6" t="s">
        <v>57</v>
      </c>
      <c r="I4" s="6" t="s">
        <v>58</v>
      </c>
      <c r="J4" s="6" t="s">
        <v>48</v>
      </c>
    </row>
    <row r="5" spans="1:10" ht="27" customHeight="1">
      <c r="A5" s="2">
        <v>1</v>
      </c>
      <c r="B5" s="7" t="s">
        <v>178</v>
      </c>
      <c r="C5" s="9">
        <f>IF(Паспорт!B16="","",Паспорт!B16)</f>
        <v>15</v>
      </c>
      <c r="D5" s="7">
        <v>15</v>
      </c>
      <c r="E5" s="9">
        <f t="shared" ref="E5:E19" si="0">IF(OR(C5="",D5=""),"",ABS(C5-D5))</f>
        <v>0</v>
      </c>
      <c r="F5" s="7">
        <v>3</v>
      </c>
      <c r="G5" s="7">
        <v>4</v>
      </c>
      <c r="H5" s="22">
        <v>7</v>
      </c>
      <c r="I5" s="18" t="s">
        <v>177</v>
      </c>
      <c r="J5" s="7"/>
    </row>
    <row r="6" spans="1:10" ht="27" customHeight="1">
      <c r="A6" s="2">
        <v>2</v>
      </c>
      <c r="B6" s="7" t="s">
        <v>180</v>
      </c>
      <c r="C6" s="9">
        <v>15</v>
      </c>
      <c r="D6" s="7">
        <v>15</v>
      </c>
      <c r="E6" s="9">
        <f t="shared" si="0"/>
        <v>0</v>
      </c>
      <c r="F6" s="7">
        <v>3</v>
      </c>
      <c r="G6" s="7">
        <v>5</v>
      </c>
      <c r="H6" s="21">
        <v>46273</v>
      </c>
      <c r="I6" s="18" t="s">
        <v>179</v>
      </c>
      <c r="J6" s="7" t="s">
        <v>181</v>
      </c>
    </row>
    <row r="7" spans="1:10" ht="27" customHeight="1">
      <c r="A7" s="2">
        <v>3</v>
      </c>
      <c r="B7" s="7"/>
      <c r="C7" s="9"/>
      <c r="D7" s="7"/>
      <c r="E7" s="9" t="str">
        <f t="shared" si="0"/>
        <v/>
      </c>
      <c r="F7" s="7"/>
      <c r="G7" s="7"/>
      <c r="H7" s="7"/>
      <c r="I7" s="7"/>
      <c r="J7" s="7"/>
    </row>
    <row r="8" spans="1:10" ht="27" customHeight="1">
      <c r="A8" s="2">
        <v>4</v>
      </c>
      <c r="B8" s="7"/>
      <c r="C8" s="9"/>
      <c r="D8" s="7"/>
      <c r="E8" s="9" t="str">
        <f t="shared" si="0"/>
        <v/>
      </c>
      <c r="F8" s="7"/>
      <c r="G8" s="7"/>
      <c r="H8" s="7"/>
      <c r="I8" s="7"/>
      <c r="J8" s="7"/>
    </row>
    <row r="9" spans="1:10" ht="27" customHeight="1">
      <c r="A9" s="2">
        <v>5</v>
      </c>
      <c r="B9" s="7"/>
      <c r="C9" s="9" t="str">
        <f>IF(Паспорт!B20="","",Паспорт!B20)</f>
        <v/>
      </c>
      <c r="D9" s="7"/>
      <c r="E9" s="9" t="str">
        <f t="shared" si="0"/>
        <v/>
      </c>
      <c r="F9" s="7"/>
      <c r="G9" s="7"/>
      <c r="H9" s="7"/>
      <c r="I9" s="7"/>
      <c r="J9" s="7"/>
    </row>
    <row r="10" spans="1:10" ht="27" customHeight="1">
      <c r="A10" s="2">
        <v>6</v>
      </c>
      <c r="B10" s="7"/>
      <c r="C10" s="9" t="str">
        <f>IF(Паспорт!B21="","",Паспорт!B21)</f>
        <v/>
      </c>
      <c r="D10" s="7"/>
      <c r="E10" s="9" t="str">
        <f t="shared" si="0"/>
        <v/>
      </c>
      <c r="F10" s="7"/>
      <c r="G10" s="7"/>
      <c r="H10" s="7"/>
      <c r="I10" s="7"/>
      <c r="J10" s="7"/>
    </row>
    <row r="11" spans="1:10" ht="27" customHeight="1">
      <c r="A11" s="2">
        <v>7</v>
      </c>
      <c r="B11" s="7"/>
      <c r="C11" s="9" t="str">
        <f>IF(Паспорт!B22="","",Паспорт!B22)</f>
        <v/>
      </c>
      <c r="D11" s="7"/>
      <c r="E11" s="9" t="str">
        <f t="shared" si="0"/>
        <v/>
      </c>
      <c r="F11" s="7"/>
      <c r="G11" s="7"/>
      <c r="H11" s="7"/>
      <c r="I11" s="7"/>
      <c r="J11" s="7"/>
    </row>
    <row r="12" spans="1:10" ht="27" customHeight="1">
      <c r="A12" s="2">
        <v>8</v>
      </c>
      <c r="B12" s="7"/>
      <c r="C12" s="9" t="str">
        <f>IF(Паспорт!B23="","",Паспорт!B23)</f>
        <v/>
      </c>
      <c r="D12" s="7"/>
      <c r="E12" s="9" t="str">
        <f t="shared" si="0"/>
        <v/>
      </c>
      <c r="F12" s="7"/>
      <c r="G12" s="7"/>
      <c r="H12" s="7"/>
      <c r="I12" s="7"/>
      <c r="J12" s="7"/>
    </row>
    <row r="13" spans="1:10" ht="27" customHeight="1">
      <c r="A13" s="2">
        <v>9</v>
      </c>
      <c r="B13" s="7"/>
      <c r="C13" s="9" t="str">
        <f>IF(Паспорт!B24="","",Паспорт!B24)</f>
        <v/>
      </c>
      <c r="D13" s="7"/>
      <c r="E13" s="9" t="str">
        <f t="shared" si="0"/>
        <v/>
      </c>
      <c r="F13" s="7"/>
      <c r="G13" s="7"/>
      <c r="H13" s="7"/>
      <c r="I13" s="7"/>
      <c r="J13" s="7"/>
    </row>
    <row r="14" spans="1:10" ht="27" customHeight="1">
      <c r="A14" s="2">
        <v>10</v>
      </c>
      <c r="B14" s="7"/>
      <c r="C14" s="9" t="str">
        <f>IF(Паспорт!B25="","",Паспорт!B25)</f>
        <v/>
      </c>
      <c r="D14" s="7"/>
      <c r="E14" s="9" t="str">
        <f t="shared" si="0"/>
        <v/>
      </c>
      <c r="F14" s="7"/>
      <c r="G14" s="7"/>
      <c r="H14" s="7"/>
      <c r="I14" s="7"/>
      <c r="J14" s="7"/>
    </row>
    <row r="15" spans="1:10" ht="27" customHeight="1">
      <c r="A15" s="2">
        <v>11</v>
      </c>
      <c r="B15" s="7"/>
      <c r="C15" s="9" t="str">
        <f>IF(Паспорт!B26="","",Паспорт!B26)</f>
        <v/>
      </c>
      <c r="D15" s="7"/>
      <c r="E15" s="9" t="str">
        <f t="shared" si="0"/>
        <v/>
      </c>
      <c r="F15" s="7"/>
      <c r="G15" s="7"/>
      <c r="H15" s="7"/>
      <c r="I15" s="7"/>
      <c r="J15" s="7"/>
    </row>
    <row r="16" spans="1:10" ht="27" customHeight="1">
      <c r="A16" s="2">
        <v>12</v>
      </c>
      <c r="B16" s="7"/>
      <c r="C16" s="9" t="str">
        <f>IF(Паспорт!B27="","",Паспорт!B27)</f>
        <v/>
      </c>
      <c r="D16" s="7"/>
      <c r="E16" s="9" t="str">
        <f t="shared" si="0"/>
        <v/>
      </c>
      <c r="F16" s="7"/>
      <c r="G16" s="7"/>
      <c r="H16" s="7"/>
      <c r="I16" s="7"/>
      <c r="J16" s="7"/>
    </row>
    <row r="17" spans="1:10" ht="27" customHeight="1">
      <c r="A17" s="2">
        <v>13</v>
      </c>
      <c r="B17" s="7"/>
      <c r="C17" s="9" t="str">
        <f>IF(Паспорт!B28="","",Паспорт!B28)</f>
        <v/>
      </c>
      <c r="D17" s="7"/>
      <c r="E17" s="9" t="str">
        <f t="shared" si="0"/>
        <v/>
      </c>
      <c r="F17" s="7"/>
      <c r="G17" s="7"/>
      <c r="H17" s="7"/>
      <c r="I17" s="7"/>
      <c r="J17" s="7"/>
    </row>
    <row r="18" spans="1:10" ht="27" customHeight="1">
      <c r="A18" s="2">
        <v>14</v>
      </c>
      <c r="B18" s="7"/>
      <c r="C18" s="9" t="str">
        <f>IF(Паспорт!B29="","",Паспорт!B29)</f>
        <v/>
      </c>
      <c r="D18" s="7"/>
      <c r="E18" s="9" t="str">
        <f t="shared" si="0"/>
        <v/>
      </c>
      <c r="F18" s="7"/>
      <c r="G18" s="7"/>
      <c r="H18" s="7"/>
      <c r="I18" s="7"/>
      <c r="J18" s="7"/>
    </row>
    <row r="19" spans="1:10" ht="27" customHeight="1">
      <c r="A19" s="2">
        <v>15</v>
      </c>
      <c r="B19" s="7"/>
      <c r="C19" s="9" t="str">
        <f>IF(Паспорт!B30="","",Паспорт!B30)</f>
        <v/>
      </c>
      <c r="D19" s="7"/>
      <c r="E19" s="9" t="str">
        <f t="shared" si="0"/>
        <v/>
      </c>
      <c r="F19" s="7"/>
      <c r="G19" s="7"/>
      <c r="H19" s="7"/>
      <c r="I19" s="7"/>
      <c r="J19" s="7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B1" workbookViewId="0">
      <pane ySplit="4" topLeftCell="A5" activePane="bottomLeft" state="frozen"/>
      <selection pane="bottomLeft" activeCell="I6" sqref="I6"/>
    </sheetView>
  </sheetViews>
  <sheetFormatPr defaultRowHeight="13.8"/>
  <cols>
    <col min="1" max="1" width="7" customWidth="1"/>
    <col min="2" max="2" width="20" customWidth="1"/>
    <col min="3" max="3" width="17" customWidth="1"/>
    <col min="4" max="4" width="20" customWidth="1"/>
    <col min="5" max="5" width="24" customWidth="1"/>
    <col min="6" max="6" width="19" customWidth="1"/>
    <col min="7" max="7" width="24" customWidth="1"/>
    <col min="8" max="8" width="15" customWidth="1"/>
    <col min="9" max="9" width="40" customWidth="1"/>
  </cols>
  <sheetData>
    <row r="1" spans="1:9" ht="34.049999999999997" customHeight="1">
      <c r="A1" s="14" t="s">
        <v>59</v>
      </c>
      <c r="B1" s="14"/>
      <c r="C1" s="14"/>
      <c r="D1" s="14"/>
      <c r="E1" s="14"/>
      <c r="F1" s="14"/>
      <c r="G1" s="14"/>
      <c r="H1" s="14"/>
      <c r="I1" s="14"/>
    </row>
    <row r="2" spans="1:9" ht="42" customHeight="1">
      <c r="A2" s="15" t="s">
        <v>60</v>
      </c>
      <c r="B2" s="15"/>
      <c r="C2" s="15"/>
      <c r="D2" s="15"/>
      <c r="E2" s="15"/>
      <c r="F2" s="15"/>
      <c r="G2" s="15"/>
      <c r="H2" s="15"/>
      <c r="I2" s="15"/>
    </row>
    <row r="4" spans="1:9" ht="40.049999999999997" customHeight="1">
      <c r="A4" s="6" t="s">
        <v>40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  <c r="H4" s="6" t="s">
        <v>43</v>
      </c>
      <c r="I4" s="6" t="s">
        <v>48</v>
      </c>
    </row>
    <row r="5" spans="1:9" ht="27" customHeight="1">
      <c r="A5" s="2">
        <v>1</v>
      </c>
      <c r="B5" s="7" t="s">
        <v>163</v>
      </c>
      <c r="C5" s="7">
        <v>3</v>
      </c>
      <c r="D5" s="21">
        <v>3</v>
      </c>
      <c r="E5" s="9" t="str">
        <f>IF(OR(C5="",D5=""),"",IF(C5=D5,"Да","Нет"))</f>
        <v>Да</v>
      </c>
      <c r="F5" s="9" t="str">
        <f t="shared" ref="F5:F34" si="0">IF(D5="","",IF(D5=0,"Да","Нет"))</f>
        <v>Нет</v>
      </c>
      <c r="G5" s="9" t="str">
        <f t="shared" ref="G5:G34" si="1">IF(OR(C5="",D5=""),"",IF(D5&gt;C5,"Да","Нет"))</f>
        <v>Нет</v>
      </c>
      <c r="H5" s="21">
        <v>46115</v>
      </c>
      <c r="I5" s="7" t="s">
        <v>182</v>
      </c>
    </row>
    <row r="6" spans="1:9" ht="27" customHeight="1">
      <c r="A6" s="2">
        <v>2</v>
      </c>
      <c r="B6" s="7"/>
      <c r="C6" s="7"/>
      <c r="D6" s="7"/>
      <c r="E6" s="9" t="str">
        <f t="shared" ref="E5:E34" si="2">IF(OR(C6="",D6=""),"",IF(C6=D6,"Да","Нет"))</f>
        <v/>
      </c>
      <c r="F6" s="9" t="str">
        <f t="shared" si="0"/>
        <v/>
      </c>
      <c r="G6" s="9" t="str">
        <f t="shared" si="1"/>
        <v/>
      </c>
      <c r="H6" s="7"/>
      <c r="I6" s="7"/>
    </row>
    <row r="7" spans="1:9" ht="27" customHeight="1">
      <c r="A7" s="2">
        <v>3</v>
      </c>
      <c r="B7" s="7"/>
      <c r="C7" s="7"/>
      <c r="D7" s="7"/>
      <c r="E7" s="9" t="str">
        <f t="shared" si="2"/>
        <v/>
      </c>
      <c r="F7" s="9" t="str">
        <f t="shared" si="0"/>
        <v/>
      </c>
      <c r="G7" s="9" t="str">
        <f t="shared" si="1"/>
        <v/>
      </c>
      <c r="H7" s="7"/>
      <c r="I7" s="7"/>
    </row>
    <row r="8" spans="1:9" ht="27" customHeight="1">
      <c r="A8" s="2">
        <v>4</v>
      </c>
      <c r="B8" s="7"/>
      <c r="C8" s="7"/>
      <c r="D8" s="7"/>
      <c r="E8" s="9" t="str">
        <f t="shared" si="2"/>
        <v/>
      </c>
      <c r="F8" s="9" t="str">
        <f t="shared" si="0"/>
        <v/>
      </c>
      <c r="G8" s="9" t="str">
        <f t="shared" si="1"/>
        <v/>
      </c>
      <c r="H8" s="7"/>
      <c r="I8" s="7"/>
    </row>
    <row r="9" spans="1:9" ht="27" customHeight="1">
      <c r="A9" s="2">
        <v>5</v>
      </c>
      <c r="B9" s="7"/>
      <c r="C9" s="7"/>
      <c r="D9" s="7"/>
      <c r="E9" s="9" t="str">
        <f t="shared" si="2"/>
        <v/>
      </c>
      <c r="F9" s="9" t="str">
        <f t="shared" si="0"/>
        <v/>
      </c>
      <c r="G9" s="9" t="str">
        <f t="shared" si="1"/>
        <v/>
      </c>
      <c r="H9" s="7"/>
      <c r="I9" s="7"/>
    </row>
    <row r="10" spans="1:9" ht="27" customHeight="1">
      <c r="A10" s="2">
        <v>6</v>
      </c>
      <c r="B10" s="7"/>
      <c r="C10" s="7"/>
      <c r="D10" s="7"/>
      <c r="E10" s="9" t="str">
        <f t="shared" si="2"/>
        <v/>
      </c>
      <c r="F10" s="9" t="str">
        <f t="shared" si="0"/>
        <v/>
      </c>
      <c r="G10" s="9" t="str">
        <f t="shared" si="1"/>
        <v/>
      </c>
      <c r="H10" s="7"/>
      <c r="I10" s="7"/>
    </row>
    <row r="11" spans="1:9" ht="27" customHeight="1">
      <c r="A11" s="2">
        <v>7</v>
      </c>
      <c r="B11" s="7"/>
      <c r="C11" s="7"/>
      <c r="D11" s="7"/>
      <c r="E11" s="9" t="str">
        <f t="shared" si="2"/>
        <v/>
      </c>
      <c r="F11" s="9" t="str">
        <f t="shared" si="0"/>
        <v/>
      </c>
      <c r="G11" s="9" t="str">
        <f t="shared" si="1"/>
        <v/>
      </c>
      <c r="H11" s="7"/>
      <c r="I11" s="7"/>
    </row>
    <row r="12" spans="1:9" ht="27" customHeight="1">
      <c r="A12" s="2">
        <v>8</v>
      </c>
      <c r="B12" s="7"/>
      <c r="C12" s="7"/>
      <c r="D12" s="7"/>
      <c r="E12" s="9" t="str">
        <f t="shared" si="2"/>
        <v/>
      </c>
      <c r="F12" s="9" t="str">
        <f t="shared" si="0"/>
        <v/>
      </c>
      <c r="G12" s="9" t="str">
        <f t="shared" si="1"/>
        <v/>
      </c>
      <c r="H12" s="7"/>
      <c r="I12" s="7"/>
    </row>
    <row r="13" spans="1:9" ht="27" customHeight="1">
      <c r="A13" s="2">
        <v>9</v>
      </c>
      <c r="B13" s="7"/>
      <c r="C13" s="7"/>
      <c r="D13" s="7"/>
      <c r="E13" s="9" t="str">
        <f t="shared" si="2"/>
        <v/>
      </c>
      <c r="F13" s="9" t="str">
        <f t="shared" si="0"/>
        <v/>
      </c>
      <c r="G13" s="9" t="str">
        <f t="shared" si="1"/>
        <v/>
      </c>
      <c r="H13" s="7"/>
      <c r="I13" s="7"/>
    </row>
    <row r="14" spans="1:9" ht="27" customHeight="1">
      <c r="A14" s="2">
        <v>10</v>
      </c>
      <c r="B14" s="7"/>
      <c r="C14" s="7"/>
      <c r="D14" s="7"/>
      <c r="E14" s="9" t="str">
        <f t="shared" si="2"/>
        <v/>
      </c>
      <c r="F14" s="9" t="str">
        <f t="shared" si="0"/>
        <v/>
      </c>
      <c r="G14" s="9" t="str">
        <f t="shared" si="1"/>
        <v/>
      </c>
      <c r="H14" s="7"/>
      <c r="I14" s="7"/>
    </row>
    <row r="15" spans="1:9" ht="27" customHeight="1">
      <c r="A15" s="2">
        <v>11</v>
      </c>
      <c r="B15" s="7"/>
      <c r="C15" s="7"/>
      <c r="D15" s="7"/>
      <c r="E15" s="9" t="str">
        <f t="shared" si="2"/>
        <v/>
      </c>
      <c r="F15" s="9" t="str">
        <f t="shared" si="0"/>
        <v/>
      </c>
      <c r="G15" s="9" t="str">
        <f t="shared" si="1"/>
        <v/>
      </c>
      <c r="H15" s="7"/>
      <c r="I15" s="7"/>
    </row>
    <row r="16" spans="1:9" ht="27" customHeight="1">
      <c r="A16" s="2">
        <v>12</v>
      </c>
      <c r="B16" s="7"/>
      <c r="C16" s="7">
        <v>1</v>
      </c>
      <c r="D16" s="7"/>
      <c r="E16" s="9" t="str">
        <f t="shared" si="2"/>
        <v/>
      </c>
      <c r="F16" s="9" t="str">
        <f t="shared" si="0"/>
        <v/>
      </c>
      <c r="G16" s="9" t="str">
        <f t="shared" si="1"/>
        <v/>
      </c>
      <c r="H16" s="7"/>
      <c r="I16" s="7"/>
    </row>
    <row r="17" spans="1:9" ht="27" customHeight="1">
      <c r="A17" s="2">
        <v>13</v>
      </c>
      <c r="B17" s="7"/>
      <c r="C17" s="7">
        <v>1</v>
      </c>
      <c r="D17" s="7"/>
      <c r="E17" s="9" t="str">
        <f t="shared" si="2"/>
        <v/>
      </c>
      <c r="F17" s="9" t="str">
        <f t="shared" si="0"/>
        <v/>
      </c>
      <c r="G17" s="9" t="str">
        <f t="shared" si="1"/>
        <v/>
      </c>
      <c r="H17" s="7"/>
      <c r="I17" s="7"/>
    </row>
    <row r="18" spans="1:9" ht="27" customHeight="1">
      <c r="A18" s="2">
        <v>14</v>
      </c>
      <c r="B18" s="7"/>
      <c r="C18" s="7">
        <v>1</v>
      </c>
      <c r="D18" s="7"/>
      <c r="E18" s="9" t="str">
        <f t="shared" si="2"/>
        <v/>
      </c>
      <c r="F18" s="9" t="str">
        <f t="shared" si="0"/>
        <v/>
      </c>
      <c r="G18" s="9" t="str">
        <f t="shared" si="1"/>
        <v/>
      </c>
      <c r="H18" s="7"/>
      <c r="I18" s="7"/>
    </row>
    <row r="19" spans="1:9" ht="27" customHeight="1">
      <c r="A19" s="2">
        <v>15</v>
      </c>
      <c r="B19" s="7"/>
      <c r="C19" s="7">
        <v>1</v>
      </c>
      <c r="D19" s="7"/>
      <c r="E19" s="9" t="str">
        <f t="shared" si="2"/>
        <v/>
      </c>
      <c r="F19" s="9" t="str">
        <f t="shared" si="0"/>
        <v/>
      </c>
      <c r="G19" s="9" t="str">
        <f t="shared" si="1"/>
        <v/>
      </c>
      <c r="H19" s="7"/>
      <c r="I19" s="7"/>
    </row>
    <row r="20" spans="1:9" ht="27" customHeight="1">
      <c r="A20" s="2">
        <v>16</v>
      </c>
      <c r="B20" s="7"/>
      <c r="C20" s="7">
        <v>1</v>
      </c>
      <c r="D20" s="7"/>
      <c r="E20" s="9" t="str">
        <f t="shared" si="2"/>
        <v/>
      </c>
      <c r="F20" s="9" t="str">
        <f t="shared" si="0"/>
        <v/>
      </c>
      <c r="G20" s="9" t="str">
        <f t="shared" si="1"/>
        <v/>
      </c>
      <c r="H20" s="7"/>
      <c r="I20" s="7"/>
    </row>
    <row r="21" spans="1:9" ht="27" customHeight="1">
      <c r="A21" s="2">
        <v>17</v>
      </c>
      <c r="B21" s="7"/>
      <c r="C21" s="7">
        <v>1</v>
      </c>
      <c r="D21" s="7"/>
      <c r="E21" s="9" t="str">
        <f t="shared" si="2"/>
        <v/>
      </c>
      <c r="F21" s="9" t="str">
        <f t="shared" si="0"/>
        <v/>
      </c>
      <c r="G21" s="9" t="str">
        <f t="shared" si="1"/>
        <v/>
      </c>
      <c r="H21" s="7"/>
      <c r="I21" s="7"/>
    </row>
    <row r="22" spans="1:9" ht="27" customHeight="1">
      <c r="A22" s="2">
        <v>18</v>
      </c>
      <c r="B22" s="7"/>
      <c r="C22" s="7">
        <v>1</v>
      </c>
      <c r="D22" s="7"/>
      <c r="E22" s="9" t="str">
        <f t="shared" si="2"/>
        <v/>
      </c>
      <c r="F22" s="9" t="str">
        <f t="shared" si="0"/>
        <v/>
      </c>
      <c r="G22" s="9" t="str">
        <f t="shared" si="1"/>
        <v/>
      </c>
      <c r="H22" s="7"/>
      <c r="I22" s="7"/>
    </row>
    <row r="23" spans="1:9" ht="27" customHeight="1">
      <c r="A23" s="2">
        <v>19</v>
      </c>
      <c r="B23" s="7"/>
      <c r="C23" s="7">
        <v>1</v>
      </c>
      <c r="D23" s="7"/>
      <c r="E23" s="9" t="str">
        <f t="shared" si="2"/>
        <v/>
      </c>
      <c r="F23" s="9" t="str">
        <f t="shared" si="0"/>
        <v/>
      </c>
      <c r="G23" s="9" t="str">
        <f t="shared" si="1"/>
        <v/>
      </c>
      <c r="H23" s="7"/>
      <c r="I23" s="7"/>
    </row>
    <row r="24" spans="1:9" ht="27" customHeight="1">
      <c r="A24" s="2">
        <v>20</v>
      </c>
      <c r="B24" s="7"/>
      <c r="C24" s="7">
        <v>1</v>
      </c>
      <c r="D24" s="7"/>
      <c r="E24" s="9" t="str">
        <f t="shared" si="2"/>
        <v/>
      </c>
      <c r="F24" s="9" t="str">
        <f t="shared" si="0"/>
        <v/>
      </c>
      <c r="G24" s="9" t="str">
        <f t="shared" si="1"/>
        <v/>
      </c>
      <c r="H24" s="7"/>
      <c r="I24" s="7"/>
    </row>
    <row r="25" spans="1:9" ht="27" customHeight="1">
      <c r="A25" s="2">
        <v>21</v>
      </c>
      <c r="B25" s="7"/>
      <c r="C25" s="7">
        <v>1</v>
      </c>
      <c r="D25" s="7"/>
      <c r="E25" s="9" t="str">
        <f t="shared" si="2"/>
        <v/>
      </c>
      <c r="F25" s="9" t="str">
        <f t="shared" si="0"/>
        <v/>
      </c>
      <c r="G25" s="9" t="str">
        <f t="shared" si="1"/>
        <v/>
      </c>
      <c r="H25" s="7"/>
      <c r="I25" s="7"/>
    </row>
    <row r="26" spans="1:9" ht="27" customHeight="1">
      <c r="A26" s="2">
        <v>22</v>
      </c>
      <c r="B26" s="7"/>
      <c r="C26" s="7">
        <v>1</v>
      </c>
      <c r="D26" s="7"/>
      <c r="E26" s="9" t="str">
        <f t="shared" si="2"/>
        <v/>
      </c>
      <c r="F26" s="9" t="str">
        <f t="shared" si="0"/>
        <v/>
      </c>
      <c r="G26" s="9" t="str">
        <f t="shared" si="1"/>
        <v/>
      </c>
      <c r="H26" s="7"/>
      <c r="I26" s="7"/>
    </row>
    <row r="27" spans="1:9" ht="27" customHeight="1">
      <c r="A27" s="2">
        <v>23</v>
      </c>
      <c r="B27" s="7"/>
      <c r="C27" s="7">
        <v>1</v>
      </c>
      <c r="D27" s="7"/>
      <c r="E27" s="9" t="str">
        <f t="shared" si="2"/>
        <v/>
      </c>
      <c r="F27" s="9" t="str">
        <f t="shared" si="0"/>
        <v/>
      </c>
      <c r="G27" s="9" t="str">
        <f t="shared" si="1"/>
        <v/>
      </c>
      <c r="H27" s="7"/>
      <c r="I27" s="7"/>
    </row>
    <row r="28" spans="1:9" ht="27" customHeight="1">
      <c r="A28" s="2">
        <v>24</v>
      </c>
      <c r="B28" s="7"/>
      <c r="C28" s="7">
        <v>1</v>
      </c>
      <c r="D28" s="7"/>
      <c r="E28" s="9" t="str">
        <f t="shared" si="2"/>
        <v/>
      </c>
      <c r="F28" s="9" t="str">
        <f t="shared" si="0"/>
        <v/>
      </c>
      <c r="G28" s="9" t="str">
        <f t="shared" si="1"/>
        <v/>
      </c>
      <c r="H28" s="7"/>
      <c r="I28" s="7"/>
    </row>
    <row r="29" spans="1:9" ht="27" customHeight="1">
      <c r="A29" s="2">
        <v>25</v>
      </c>
      <c r="B29" s="7"/>
      <c r="C29" s="7">
        <v>1</v>
      </c>
      <c r="D29" s="7"/>
      <c r="E29" s="9" t="str">
        <f t="shared" si="2"/>
        <v/>
      </c>
      <c r="F29" s="9" t="str">
        <f t="shared" si="0"/>
        <v/>
      </c>
      <c r="G29" s="9" t="str">
        <f t="shared" si="1"/>
        <v/>
      </c>
      <c r="H29" s="7"/>
      <c r="I29" s="7"/>
    </row>
    <row r="30" spans="1:9" ht="27" customHeight="1">
      <c r="A30" s="2">
        <v>26</v>
      </c>
      <c r="B30" s="7"/>
      <c r="C30" s="7">
        <v>1</v>
      </c>
      <c r="D30" s="7"/>
      <c r="E30" s="9" t="str">
        <f t="shared" si="2"/>
        <v/>
      </c>
      <c r="F30" s="9" t="str">
        <f t="shared" si="0"/>
        <v/>
      </c>
      <c r="G30" s="9" t="str">
        <f t="shared" si="1"/>
        <v/>
      </c>
      <c r="H30" s="7"/>
      <c r="I30" s="7"/>
    </row>
    <row r="31" spans="1:9" ht="27" customHeight="1">
      <c r="A31" s="2">
        <v>27</v>
      </c>
      <c r="B31" s="7"/>
      <c r="C31" s="7">
        <v>1</v>
      </c>
      <c r="D31" s="7"/>
      <c r="E31" s="9" t="str">
        <f t="shared" si="2"/>
        <v/>
      </c>
      <c r="F31" s="9" t="str">
        <f t="shared" si="0"/>
        <v/>
      </c>
      <c r="G31" s="9" t="str">
        <f t="shared" si="1"/>
        <v/>
      </c>
      <c r="H31" s="7"/>
      <c r="I31" s="7"/>
    </row>
    <row r="32" spans="1:9" ht="27" customHeight="1">
      <c r="A32" s="2">
        <v>28</v>
      </c>
      <c r="B32" s="7"/>
      <c r="C32" s="7">
        <v>1</v>
      </c>
      <c r="D32" s="7"/>
      <c r="E32" s="9" t="str">
        <f t="shared" si="2"/>
        <v/>
      </c>
      <c r="F32" s="9" t="str">
        <f t="shared" si="0"/>
        <v/>
      </c>
      <c r="G32" s="9" t="str">
        <f t="shared" si="1"/>
        <v/>
      </c>
      <c r="H32" s="7"/>
      <c r="I32" s="7"/>
    </row>
    <row r="33" spans="1:9" ht="27" customHeight="1">
      <c r="A33" s="2">
        <v>29</v>
      </c>
      <c r="B33" s="7"/>
      <c r="C33" s="7">
        <v>1</v>
      </c>
      <c r="D33" s="7"/>
      <c r="E33" s="9" t="str">
        <f t="shared" si="2"/>
        <v/>
      </c>
      <c r="F33" s="9" t="str">
        <f t="shared" si="0"/>
        <v/>
      </c>
      <c r="G33" s="9" t="str">
        <f t="shared" si="1"/>
        <v/>
      </c>
      <c r="H33" s="7"/>
      <c r="I33" s="7"/>
    </row>
    <row r="34" spans="1:9" ht="27" customHeight="1">
      <c r="A34" s="2">
        <v>30</v>
      </c>
      <c r="B34" s="7"/>
      <c r="C34" s="7">
        <v>1</v>
      </c>
      <c r="D34" s="7"/>
      <c r="E34" s="9" t="str">
        <f t="shared" si="2"/>
        <v/>
      </c>
      <c r="F34" s="9" t="str">
        <f t="shared" si="0"/>
        <v/>
      </c>
      <c r="G34" s="9" t="str">
        <f t="shared" si="1"/>
        <v/>
      </c>
      <c r="H34" s="7"/>
      <c r="I34" s="7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opLeftCell="C1" workbookViewId="0">
      <pane ySplit="4" topLeftCell="A5" activePane="bottomLeft" state="frozen"/>
      <selection pane="bottomLeft" activeCell="D11" sqref="D11"/>
    </sheetView>
  </sheetViews>
  <sheetFormatPr defaultRowHeight="13.8"/>
  <cols>
    <col min="1" max="1" width="7" customWidth="1"/>
    <col min="2" max="2" width="40" customWidth="1"/>
    <col min="3" max="3" width="48" customWidth="1"/>
    <col min="4" max="4" width="45" customWidth="1"/>
    <col min="5" max="5" width="20" customWidth="1"/>
    <col min="6" max="6" width="23" customWidth="1"/>
    <col min="7" max="7" width="45" customWidth="1"/>
  </cols>
  <sheetData>
    <row r="1" spans="1:7" ht="34.950000000000003" customHeight="1">
      <c r="A1" s="13" t="s">
        <v>67</v>
      </c>
      <c r="B1" s="13"/>
      <c r="C1" s="13"/>
      <c r="D1" s="13"/>
      <c r="E1" s="13"/>
      <c r="F1" s="13"/>
      <c r="G1" s="13"/>
    </row>
    <row r="2" spans="1:7" ht="40.950000000000003" customHeight="1">
      <c r="A2" s="16" t="s">
        <v>68</v>
      </c>
      <c r="B2" s="16"/>
      <c r="C2" s="16"/>
      <c r="D2" s="16"/>
      <c r="E2" s="16"/>
      <c r="F2" s="16"/>
      <c r="G2" s="16"/>
    </row>
    <row r="4" spans="1:7" ht="34.950000000000003" customHeight="1">
      <c r="A4" s="5" t="s">
        <v>40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37</v>
      </c>
    </row>
    <row r="5" spans="1:7" ht="43.95" customHeight="1">
      <c r="A5" t="s">
        <v>74</v>
      </c>
      <c r="B5" t="s">
        <v>75</v>
      </c>
      <c r="C5" t="s">
        <v>76</v>
      </c>
      <c r="D5" s="3" t="s">
        <v>154</v>
      </c>
      <c r="E5" s="18">
        <v>1</v>
      </c>
      <c r="F5" s="19" t="s">
        <v>153</v>
      </c>
      <c r="G5" s="3"/>
    </row>
    <row r="6" spans="1:7" ht="43.95" customHeight="1">
      <c r="A6" t="s">
        <v>77</v>
      </c>
      <c r="B6" t="s">
        <v>78</v>
      </c>
      <c r="C6" t="s">
        <v>79</v>
      </c>
      <c r="D6" s="3" t="s">
        <v>155</v>
      </c>
      <c r="E6" s="18">
        <v>1</v>
      </c>
      <c r="F6" s="19" t="s">
        <v>153</v>
      </c>
      <c r="G6" s="3"/>
    </row>
    <row r="7" spans="1:7" ht="43.95" customHeight="1">
      <c r="A7" t="s">
        <v>80</v>
      </c>
      <c r="B7" t="s">
        <v>81</v>
      </c>
      <c r="C7" t="s">
        <v>82</v>
      </c>
      <c r="D7" s="3" t="s">
        <v>177</v>
      </c>
      <c r="E7" s="18">
        <v>1</v>
      </c>
      <c r="F7" s="19" t="s">
        <v>153</v>
      </c>
      <c r="G7" s="3"/>
    </row>
    <row r="8" spans="1:7" ht="43.95" customHeight="1">
      <c r="A8" t="s">
        <v>83</v>
      </c>
      <c r="B8" t="s">
        <v>84</v>
      </c>
      <c r="C8" t="s">
        <v>85</v>
      </c>
      <c r="D8" s="3" t="s">
        <v>177</v>
      </c>
      <c r="E8" s="3"/>
      <c r="F8" s="3"/>
      <c r="G8" s="3"/>
    </row>
    <row r="9" spans="1:7" ht="43.95" customHeight="1">
      <c r="A9" t="s">
        <v>86</v>
      </c>
      <c r="B9" t="s">
        <v>87</v>
      </c>
      <c r="C9" t="s">
        <v>88</v>
      </c>
      <c r="D9" s="3" t="s">
        <v>183</v>
      </c>
      <c r="E9" s="3"/>
      <c r="F9" s="3"/>
      <c r="G9" s="3"/>
    </row>
    <row r="10" spans="1:7" ht="43.95" customHeight="1">
      <c r="A10" t="s">
        <v>89</v>
      </c>
      <c r="B10" t="s">
        <v>90</v>
      </c>
      <c r="C10" t="s">
        <v>91</v>
      </c>
      <c r="D10" s="3" t="s">
        <v>183</v>
      </c>
      <c r="E10" s="3"/>
      <c r="F10" s="3"/>
      <c r="G10" s="3"/>
    </row>
    <row r="11" spans="1:7" ht="43.95" customHeight="1">
      <c r="A11" t="s">
        <v>92</v>
      </c>
      <c r="B11" t="s">
        <v>93</v>
      </c>
      <c r="C11" t="s">
        <v>94</v>
      </c>
      <c r="D11" s="3" t="s">
        <v>183</v>
      </c>
      <c r="E11" s="3"/>
      <c r="F11" s="3"/>
      <c r="G11" s="3"/>
    </row>
    <row r="12" spans="1:7" ht="43.95" customHeight="1">
      <c r="A12" t="s">
        <v>95</v>
      </c>
      <c r="B12" t="s">
        <v>96</v>
      </c>
      <c r="C12" t="s">
        <v>97</v>
      </c>
      <c r="D12" s="3" t="s">
        <v>183</v>
      </c>
      <c r="E12" s="3"/>
      <c r="F12" s="3"/>
      <c r="G12" s="3"/>
    </row>
  </sheetData>
  <mergeCells count="2">
    <mergeCell ref="A1:G1"/>
    <mergeCell ref="A2:G2"/>
  </mergeCells>
  <dataValidations count="1">
    <dataValidation type="list" sqref="F5:F12">
      <formula1>"Пройдено,Не пройдено,Не проводилось"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4" topLeftCell="A5" activePane="bottomLeft" state="frozen"/>
      <selection pane="bottomLeft" activeCell="H5" sqref="H5"/>
    </sheetView>
  </sheetViews>
  <sheetFormatPr defaultRowHeight="13.8"/>
  <cols>
    <col min="1" max="1" width="7" customWidth="1"/>
    <col min="2" max="2" width="26" customWidth="1"/>
    <col min="3" max="3" width="20" customWidth="1"/>
    <col min="4" max="4" width="18" customWidth="1"/>
    <col min="5" max="5" width="12" customWidth="1"/>
    <col min="6" max="7" width="23" customWidth="1"/>
    <col min="8" max="8" width="44" customWidth="1"/>
  </cols>
  <sheetData>
    <row r="1" spans="1:8" ht="34.049999999999997" customHeight="1">
      <c r="A1" s="14" t="s">
        <v>98</v>
      </c>
      <c r="B1" s="14"/>
      <c r="C1" s="14"/>
      <c r="D1" s="14"/>
      <c r="E1" s="14"/>
      <c r="F1" s="14"/>
      <c r="G1" s="14"/>
      <c r="H1" s="14"/>
    </row>
    <row r="2" spans="1:8" ht="42" customHeight="1">
      <c r="A2" s="15" t="s">
        <v>99</v>
      </c>
      <c r="B2" s="15"/>
      <c r="C2" s="15"/>
      <c r="D2" s="15"/>
      <c r="E2" s="15"/>
      <c r="F2" s="15"/>
      <c r="G2" s="15"/>
      <c r="H2" s="15"/>
    </row>
    <row r="4" spans="1:8" ht="40.049999999999997" customHeight="1">
      <c r="A4" s="6" t="s">
        <v>40</v>
      </c>
      <c r="B4" s="6" t="s">
        <v>100</v>
      </c>
      <c r="C4" s="6" t="s">
        <v>101</v>
      </c>
      <c r="D4" s="6" t="s">
        <v>102</v>
      </c>
      <c r="E4" s="6" t="s">
        <v>103</v>
      </c>
      <c r="F4" s="6" t="s">
        <v>104</v>
      </c>
      <c r="G4" s="6" t="s">
        <v>105</v>
      </c>
      <c r="H4" s="6" t="s">
        <v>37</v>
      </c>
    </row>
    <row r="5" spans="1:8" ht="27" customHeight="1">
      <c r="A5" s="2">
        <v>1</v>
      </c>
      <c r="B5" s="7" t="s">
        <v>177</v>
      </c>
      <c r="C5" s="7" t="s">
        <v>177</v>
      </c>
      <c r="D5" s="7">
        <v>25</v>
      </c>
      <c r="E5" s="7" t="s">
        <v>179</v>
      </c>
      <c r="F5" s="7" t="s">
        <v>184</v>
      </c>
      <c r="G5" s="7" t="s">
        <v>185</v>
      </c>
      <c r="H5" s="7" t="s">
        <v>186</v>
      </c>
    </row>
    <row r="6" spans="1:8" ht="27" customHeight="1">
      <c r="A6" s="2">
        <v>2</v>
      </c>
      <c r="B6" s="7"/>
      <c r="C6" s="7"/>
      <c r="D6" s="7"/>
      <c r="E6" s="7"/>
      <c r="F6" s="7"/>
      <c r="G6" s="7"/>
      <c r="H6" s="7"/>
    </row>
    <row r="7" spans="1:8" ht="27" customHeight="1">
      <c r="A7" s="2">
        <v>3</v>
      </c>
      <c r="B7" s="7"/>
      <c r="C7" s="7"/>
      <c r="D7" s="7"/>
      <c r="E7" s="7"/>
      <c r="F7" s="7"/>
      <c r="G7" s="7"/>
      <c r="H7" s="7"/>
    </row>
    <row r="8" spans="1:8" ht="27" customHeight="1">
      <c r="A8" s="2">
        <v>4</v>
      </c>
      <c r="B8" s="7"/>
      <c r="C8" s="7"/>
      <c r="D8" s="7"/>
      <c r="E8" s="7"/>
      <c r="F8" s="7"/>
      <c r="G8" s="7"/>
      <c r="H8" s="7"/>
    </row>
    <row r="9" spans="1:8" ht="27" customHeight="1">
      <c r="A9" s="2">
        <v>5</v>
      </c>
      <c r="B9" s="7"/>
      <c r="C9" s="7"/>
      <c r="D9" s="7"/>
      <c r="E9" s="7"/>
      <c r="F9" s="7"/>
      <c r="G9" s="7"/>
      <c r="H9" s="7"/>
    </row>
    <row r="10" spans="1:8" ht="27" customHeight="1">
      <c r="A10" s="2">
        <v>6</v>
      </c>
      <c r="B10" s="7"/>
      <c r="C10" s="7"/>
      <c r="D10" s="7"/>
      <c r="E10" s="7"/>
      <c r="F10" s="7"/>
      <c r="G10" s="7"/>
      <c r="H10" s="7"/>
    </row>
    <row r="11" spans="1:8" ht="27" customHeight="1">
      <c r="A11" s="2">
        <v>7</v>
      </c>
      <c r="B11" s="7"/>
      <c r="C11" s="7"/>
      <c r="D11" s="7"/>
      <c r="E11" s="7"/>
      <c r="F11" s="7"/>
      <c r="G11" s="7"/>
      <c r="H11" s="7"/>
    </row>
    <row r="12" spans="1:8" ht="27" customHeight="1">
      <c r="A12" s="2">
        <v>8</v>
      </c>
      <c r="B12" s="7"/>
      <c r="C12" s="7"/>
      <c r="D12" s="7"/>
      <c r="E12" s="7"/>
      <c r="F12" s="7"/>
      <c r="G12" s="7"/>
      <c r="H12" s="7"/>
    </row>
    <row r="13" spans="1:8" ht="27" customHeight="1">
      <c r="A13" s="2">
        <v>9</v>
      </c>
      <c r="B13" s="7"/>
      <c r="C13" s="7"/>
      <c r="D13" s="7"/>
      <c r="E13" s="7"/>
      <c r="F13" s="7"/>
      <c r="G13" s="7"/>
      <c r="H13" s="7"/>
    </row>
    <row r="14" spans="1:8" ht="27" customHeight="1">
      <c r="A14" s="2">
        <v>10</v>
      </c>
      <c r="B14" s="7"/>
      <c r="C14" s="7"/>
      <c r="D14" s="7"/>
      <c r="E14" s="7"/>
      <c r="F14" s="7"/>
      <c r="G14" s="7"/>
      <c r="H14" s="7"/>
    </row>
  </sheetData>
  <mergeCells count="2">
    <mergeCell ref="A1:H1"/>
    <mergeCell ref="A2:H2"/>
  </mergeCells>
  <dataValidations count="1">
    <dataValidation type="list" sqref="C5:C14">
      <formula1>"Да,Нет"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4" topLeftCell="A5" activePane="bottomLeft" state="frozen"/>
      <selection pane="bottomLeft" activeCell="H5" sqref="H5"/>
    </sheetView>
  </sheetViews>
  <sheetFormatPr defaultRowHeight="13.8"/>
  <cols>
    <col min="1" max="1" width="7" customWidth="1"/>
    <col min="2" max="2" width="25" customWidth="1"/>
    <col min="3" max="3" width="20" customWidth="1"/>
    <col min="4" max="4" width="18" customWidth="1"/>
    <col min="5" max="5" width="24" customWidth="1"/>
    <col min="6" max="6" width="26" customWidth="1"/>
    <col min="7" max="7" width="25" customWidth="1"/>
    <col min="8" max="8" width="42" customWidth="1"/>
  </cols>
  <sheetData>
    <row r="1" spans="1:8" ht="34.049999999999997" customHeight="1">
      <c r="A1" s="14" t="s">
        <v>106</v>
      </c>
      <c r="B1" s="14"/>
      <c r="C1" s="14"/>
      <c r="D1" s="14"/>
      <c r="E1" s="14"/>
      <c r="F1" s="14"/>
      <c r="G1" s="14"/>
      <c r="H1" s="14"/>
    </row>
    <row r="2" spans="1:8" ht="42" customHeight="1">
      <c r="A2" s="15" t="s">
        <v>107</v>
      </c>
      <c r="B2" s="15"/>
      <c r="C2" s="15"/>
      <c r="D2" s="15"/>
      <c r="E2" s="15"/>
      <c r="F2" s="15"/>
      <c r="G2" s="15"/>
      <c r="H2" s="15"/>
    </row>
    <row r="4" spans="1:8" ht="40.049999999999997" customHeight="1">
      <c r="A4" s="6" t="s">
        <v>40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112</v>
      </c>
      <c r="G4" s="6" t="s">
        <v>113</v>
      </c>
      <c r="H4" s="6" t="s">
        <v>48</v>
      </c>
    </row>
    <row r="5" spans="1:8" ht="27" customHeight="1">
      <c r="A5" s="2">
        <v>1</v>
      </c>
      <c r="B5" s="7" t="s">
        <v>187</v>
      </c>
      <c r="C5" s="7" t="s">
        <v>159</v>
      </c>
      <c r="D5" s="7" t="s">
        <v>188</v>
      </c>
      <c r="E5" s="9" t="e">
        <f t="shared" ref="E5:E16" si="0">IF(OR(C5="",D5=""),"",C5*D5)</f>
        <v>#VALUE!</v>
      </c>
      <c r="F5" s="7">
        <v>40</v>
      </c>
      <c r="G5" s="7" t="s">
        <v>189</v>
      </c>
      <c r="H5" s="7"/>
    </row>
    <row r="6" spans="1:8" ht="27" customHeight="1">
      <c r="A6" s="2">
        <v>2</v>
      </c>
      <c r="B6" s="7"/>
      <c r="C6" s="7"/>
      <c r="D6" s="7"/>
      <c r="E6" s="9" t="str">
        <f t="shared" si="0"/>
        <v/>
      </c>
      <c r="F6" s="7"/>
      <c r="G6" s="7"/>
      <c r="H6" s="7"/>
    </row>
    <row r="7" spans="1:8" ht="27" customHeight="1">
      <c r="A7" s="2">
        <v>3</v>
      </c>
      <c r="B7" s="7"/>
      <c r="C7" s="7"/>
      <c r="D7" s="7"/>
      <c r="E7" s="9" t="str">
        <f t="shared" si="0"/>
        <v/>
      </c>
      <c r="F7" s="7"/>
      <c r="G7" s="7"/>
      <c r="H7" s="7"/>
    </row>
    <row r="8" spans="1:8" ht="27" customHeight="1">
      <c r="A8" s="2">
        <v>4</v>
      </c>
      <c r="B8" s="7"/>
      <c r="C8" s="7"/>
      <c r="D8" s="7"/>
      <c r="E8" s="9" t="str">
        <f t="shared" si="0"/>
        <v/>
      </c>
      <c r="F8" s="7"/>
      <c r="G8" s="7"/>
      <c r="H8" s="7"/>
    </row>
    <row r="9" spans="1:8" ht="27" customHeight="1">
      <c r="A9" s="2">
        <v>5</v>
      </c>
      <c r="B9" s="7"/>
      <c r="C9" s="7"/>
      <c r="D9" s="7"/>
      <c r="E9" s="9" t="str">
        <f t="shared" si="0"/>
        <v/>
      </c>
      <c r="F9" s="7"/>
      <c r="G9" s="7"/>
      <c r="H9" s="7"/>
    </row>
    <row r="10" spans="1:8" ht="27" customHeight="1">
      <c r="A10" s="2">
        <v>6</v>
      </c>
      <c r="B10" s="7"/>
      <c r="C10" s="7"/>
      <c r="D10" s="7"/>
      <c r="E10" s="9" t="str">
        <f t="shared" si="0"/>
        <v/>
      </c>
      <c r="F10" s="7"/>
      <c r="G10" s="7"/>
      <c r="H10" s="7"/>
    </row>
    <row r="11" spans="1:8" ht="27" customHeight="1">
      <c r="A11" s="2">
        <v>7</v>
      </c>
      <c r="B11" s="7"/>
      <c r="C11" s="7"/>
      <c r="D11" s="7"/>
      <c r="E11" s="9" t="str">
        <f t="shared" si="0"/>
        <v/>
      </c>
      <c r="F11" s="7"/>
      <c r="G11" s="7"/>
      <c r="H11" s="7"/>
    </row>
    <row r="12" spans="1:8" ht="27" customHeight="1">
      <c r="A12" s="2">
        <v>8</v>
      </c>
      <c r="B12" s="7"/>
      <c r="C12" s="7"/>
      <c r="D12" s="7"/>
      <c r="E12" s="9" t="str">
        <f t="shared" si="0"/>
        <v/>
      </c>
      <c r="F12" s="7"/>
      <c r="G12" s="7"/>
      <c r="H12" s="7"/>
    </row>
    <row r="13" spans="1:8" ht="27" customHeight="1">
      <c r="A13" s="2">
        <v>9</v>
      </c>
      <c r="B13" s="7"/>
      <c r="C13" s="7"/>
      <c r="D13" s="7"/>
      <c r="E13" s="9" t="str">
        <f t="shared" si="0"/>
        <v/>
      </c>
      <c r="F13" s="7"/>
      <c r="G13" s="7"/>
      <c r="H13" s="7"/>
    </row>
    <row r="14" spans="1:8" ht="27" customHeight="1">
      <c r="A14" s="2">
        <v>10</v>
      </c>
      <c r="B14" s="7"/>
      <c r="C14" s="7"/>
      <c r="D14" s="7"/>
      <c r="E14" s="9" t="str">
        <f t="shared" si="0"/>
        <v/>
      </c>
      <c r="F14" s="7"/>
      <c r="G14" s="7"/>
      <c r="H14" s="7"/>
    </row>
    <row r="15" spans="1:8" ht="27" customHeight="1">
      <c r="A15" s="2">
        <v>11</v>
      </c>
      <c r="B15" s="7"/>
      <c r="C15" s="7"/>
      <c r="D15" s="7"/>
      <c r="E15" s="9" t="str">
        <f t="shared" si="0"/>
        <v/>
      </c>
      <c r="F15" s="7"/>
      <c r="G15" s="7"/>
      <c r="H15" s="7"/>
    </row>
    <row r="16" spans="1:8" ht="27" customHeight="1">
      <c r="A16" s="2">
        <v>12</v>
      </c>
      <c r="B16" s="7"/>
      <c r="C16" s="7"/>
      <c r="D16" s="7"/>
      <c r="E16" s="9" t="str">
        <f t="shared" si="0"/>
        <v/>
      </c>
      <c r="F16" s="7"/>
      <c r="G16" s="7"/>
      <c r="H16" s="7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C1" workbookViewId="0">
      <pane ySplit="4" topLeftCell="A5" activePane="bottomLeft" state="frozen"/>
      <selection pane="bottomLeft" activeCell="I5" sqref="I5"/>
    </sheetView>
  </sheetViews>
  <sheetFormatPr defaultRowHeight="13.8"/>
  <cols>
    <col min="1" max="1" width="7" customWidth="1"/>
    <col min="2" max="2" width="25" customWidth="1"/>
    <col min="3" max="3" width="16" customWidth="1"/>
    <col min="4" max="4" width="18" customWidth="1"/>
    <col min="5" max="5" width="22" customWidth="1"/>
    <col min="6" max="6" width="23" customWidth="1"/>
    <col min="7" max="7" width="15" customWidth="1"/>
    <col min="8" max="8" width="29" customWidth="1"/>
    <col min="9" max="9" width="45" customWidth="1"/>
  </cols>
  <sheetData>
    <row r="1" spans="1:9" ht="34.049999999999997" customHeight="1">
      <c r="A1" s="14" t="s">
        <v>114</v>
      </c>
      <c r="B1" s="14"/>
      <c r="C1" s="14"/>
      <c r="D1" s="14"/>
      <c r="E1" s="14"/>
      <c r="F1" s="14"/>
      <c r="G1" s="14"/>
      <c r="H1" s="14"/>
      <c r="I1" s="14"/>
    </row>
    <row r="2" spans="1:9" ht="42" customHeight="1">
      <c r="A2" s="15" t="s">
        <v>115</v>
      </c>
      <c r="B2" s="15"/>
      <c r="C2" s="15"/>
      <c r="D2" s="15"/>
      <c r="E2" s="15"/>
      <c r="F2" s="15"/>
      <c r="G2" s="15"/>
      <c r="H2" s="15"/>
      <c r="I2" s="15"/>
    </row>
    <row r="4" spans="1:9" ht="40.049999999999997" customHeight="1">
      <c r="A4" s="6" t="s">
        <v>40</v>
      </c>
      <c r="B4" s="6" t="s">
        <v>116</v>
      </c>
      <c r="C4" s="6" t="s">
        <v>117</v>
      </c>
      <c r="D4" s="6" t="s">
        <v>118</v>
      </c>
      <c r="E4" s="6" t="s">
        <v>119</v>
      </c>
      <c r="F4" s="6" t="s">
        <v>120</v>
      </c>
      <c r="G4" s="6" t="s">
        <v>121</v>
      </c>
      <c r="H4" s="6" t="s">
        <v>122</v>
      </c>
      <c r="I4" s="6" t="s">
        <v>123</v>
      </c>
    </row>
    <row r="5" spans="1:9" ht="27" customHeight="1">
      <c r="A5" s="2">
        <v>1</v>
      </c>
      <c r="B5" s="7">
        <v>5</v>
      </c>
      <c r="C5" s="7">
        <v>30</v>
      </c>
      <c r="D5" s="7">
        <v>8</v>
      </c>
      <c r="E5" s="7" t="s">
        <v>190</v>
      </c>
      <c r="F5" s="9">
        <f t="shared" ref="F5:F19" si="0">IF(COUNT(C5:E5)=0,"",SUM(C5:E5))</f>
        <v>38</v>
      </c>
      <c r="G5" s="7" t="s">
        <v>177</v>
      </c>
      <c r="H5" s="7" t="s">
        <v>177</v>
      </c>
      <c r="I5" s="7" t="s">
        <v>191</v>
      </c>
    </row>
    <row r="6" spans="1:9" ht="27" customHeight="1">
      <c r="A6" s="2">
        <v>2</v>
      </c>
      <c r="B6" s="7"/>
      <c r="C6" s="7"/>
      <c r="D6" s="7"/>
      <c r="E6" s="7"/>
      <c r="F6" s="9" t="str">
        <f t="shared" si="0"/>
        <v/>
      </c>
      <c r="G6" s="7"/>
      <c r="H6" s="7"/>
      <c r="I6" s="7"/>
    </row>
    <row r="7" spans="1:9" ht="27" customHeight="1">
      <c r="A7" s="2">
        <v>3</v>
      </c>
      <c r="B7" s="7"/>
      <c r="C7" s="7"/>
      <c r="D7" s="7"/>
      <c r="E7" s="7"/>
      <c r="F7" s="9" t="str">
        <f t="shared" si="0"/>
        <v/>
      </c>
      <c r="G7" s="7"/>
      <c r="H7" s="7"/>
      <c r="I7" s="7"/>
    </row>
    <row r="8" spans="1:9" ht="27" customHeight="1">
      <c r="A8" s="2">
        <v>4</v>
      </c>
      <c r="B8" s="7"/>
      <c r="C8" s="7"/>
      <c r="D8" s="7"/>
      <c r="E8" s="7"/>
      <c r="F8" s="9" t="str">
        <f t="shared" si="0"/>
        <v/>
      </c>
      <c r="G8" s="7"/>
      <c r="H8" s="7"/>
      <c r="I8" s="7"/>
    </row>
    <row r="9" spans="1:9" ht="27" customHeight="1">
      <c r="A9" s="2">
        <v>5</v>
      </c>
      <c r="B9" s="7"/>
      <c r="C9" s="7"/>
      <c r="D9" s="7"/>
      <c r="E9" s="7"/>
      <c r="F9" s="9" t="str">
        <f t="shared" si="0"/>
        <v/>
      </c>
      <c r="G9" s="7"/>
      <c r="H9" s="7"/>
      <c r="I9" s="7"/>
    </row>
    <row r="10" spans="1:9" ht="27" customHeight="1">
      <c r="A10" s="2">
        <v>6</v>
      </c>
      <c r="B10" s="7"/>
      <c r="C10" s="7"/>
      <c r="D10" s="7"/>
      <c r="E10" s="7"/>
      <c r="F10" s="9" t="str">
        <f t="shared" si="0"/>
        <v/>
      </c>
      <c r="G10" s="7"/>
      <c r="H10" s="7"/>
      <c r="I10" s="7"/>
    </row>
    <row r="11" spans="1:9" ht="27" customHeight="1">
      <c r="A11" s="2">
        <v>7</v>
      </c>
      <c r="B11" s="7"/>
      <c r="C11" s="7"/>
      <c r="D11" s="7"/>
      <c r="E11" s="7"/>
      <c r="F11" s="9" t="str">
        <f t="shared" si="0"/>
        <v/>
      </c>
      <c r="G11" s="7"/>
      <c r="H11" s="7"/>
      <c r="I11" s="7"/>
    </row>
    <row r="12" spans="1:9" ht="27" customHeight="1">
      <c r="A12" s="2">
        <v>8</v>
      </c>
      <c r="B12" s="7"/>
      <c r="C12" s="7"/>
      <c r="D12" s="7"/>
      <c r="E12" s="7"/>
      <c r="F12" s="9" t="str">
        <f t="shared" si="0"/>
        <v/>
      </c>
      <c r="G12" s="7"/>
      <c r="H12" s="7"/>
      <c r="I12" s="7"/>
    </row>
    <row r="13" spans="1:9" ht="27" customHeight="1">
      <c r="A13" s="2">
        <v>9</v>
      </c>
      <c r="B13" s="7"/>
      <c r="C13" s="7"/>
      <c r="D13" s="7"/>
      <c r="E13" s="7"/>
      <c r="F13" s="9" t="str">
        <f t="shared" si="0"/>
        <v/>
      </c>
      <c r="G13" s="7"/>
      <c r="H13" s="7"/>
      <c r="I13" s="7"/>
    </row>
    <row r="14" spans="1:9" ht="27" customHeight="1">
      <c r="A14" s="2">
        <v>10</v>
      </c>
      <c r="B14" s="7"/>
      <c r="C14" s="7"/>
      <c r="D14" s="7"/>
      <c r="E14" s="7"/>
      <c r="F14" s="9" t="str">
        <f t="shared" si="0"/>
        <v/>
      </c>
      <c r="G14" s="7"/>
      <c r="H14" s="7"/>
      <c r="I14" s="7"/>
    </row>
    <row r="15" spans="1:9" ht="27" customHeight="1">
      <c r="A15" s="2">
        <v>11</v>
      </c>
      <c r="B15" s="7"/>
      <c r="C15" s="7"/>
      <c r="D15" s="7"/>
      <c r="E15" s="7"/>
      <c r="F15" s="9" t="str">
        <f t="shared" si="0"/>
        <v/>
      </c>
      <c r="G15" s="7"/>
      <c r="H15" s="7"/>
      <c r="I15" s="7"/>
    </row>
    <row r="16" spans="1:9" ht="27" customHeight="1">
      <c r="A16" s="2">
        <v>12</v>
      </c>
      <c r="B16" s="7"/>
      <c r="C16" s="7"/>
      <c r="D16" s="7"/>
      <c r="E16" s="7"/>
      <c r="F16" s="9" t="str">
        <f t="shared" si="0"/>
        <v/>
      </c>
      <c r="G16" s="7"/>
      <c r="H16" s="7"/>
      <c r="I16" s="7"/>
    </row>
    <row r="17" spans="1:9" ht="27" customHeight="1">
      <c r="A17" s="2">
        <v>13</v>
      </c>
      <c r="B17" s="7"/>
      <c r="C17" s="7"/>
      <c r="D17" s="7"/>
      <c r="E17" s="7"/>
      <c r="F17" s="9" t="str">
        <f t="shared" si="0"/>
        <v/>
      </c>
      <c r="G17" s="7"/>
      <c r="H17" s="7"/>
      <c r="I17" s="7"/>
    </row>
    <row r="18" spans="1:9" ht="27" customHeight="1">
      <c r="A18" s="2">
        <v>14</v>
      </c>
      <c r="B18" s="7"/>
      <c r="C18" s="7"/>
      <c r="D18" s="7"/>
      <c r="E18" s="7"/>
      <c r="F18" s="9" t="str">
        <f t="shared" si="0"/>
        <v/>
      </c>
      <c r="G18" s="7"/>
      <c r="H18" s="7"/>
      <c r="I18" s="7"/>
    </row>
    <row r="19" spans="1:9" ht="27" customHeight="1">
      <c r="A19" s="2">
        <v>15</v>
      </c>
      <c r="B19" s="7"/>
      <c r="C19" s="7"/>
      <c r="D19" s="7"/>
      <c r="E19" s="7"/>
      <c r="F19" s="9" t="str">
        <f t="shared" si="0"/>
        <v/>
      </c>
      <c r="G19" s="7"/>
      <c r="H19" s="7"/>
      <c r="I19" s="7"/>
    </row>
  </sheetData>
  <mergeCells count="2">
    <mergeCell ref="A1:I1"/>
    <mergeCell ref="A2:I2"/>
  </mergeCells>
  <dataValidations count="2">
    <dataValidation type="list" sqref="G5:G19">
      <formula1>"Да,Нет"</formula1>
    </dataValidation>
    <dataValidation type="list" sqref="H5:H19">
      <formula1>"Да,Нет"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7" workbookViewId="0">
      <selection activeCell="C16" sqref="C16"/>
    </sheetView>
  </sheetViews>
  <sheetFormatPr defaultRowHeight="13.8"/>
  <cols>
    <col min="1" max="1" width="22" customWidth="1"/>
    <col min="2" max="2" width="46" customWidth="1"/>
    <col min="3" max="3" width="23" customWidth="1"/>
  </cols>
  <sheetData>
    <row r="1" spans="1:4" ht="28.8" customHeight="1">
      <c r="A1" s="13" t="s">
        <v>124</v>
      </c>
      <c r="B1" s="13"/>
      <c r="C1" s="13"/>
      <c r="D1" s="13"/>
    </row>
    <row r="2" spans="1:4" ht="28.8" customHeight="1">
      <c r="A2" s="16" t="s">
        <v>125</v>
      </c>
      <c r="B2" s="16"/>
      <c r="C2" s="16"/>
      <c r="D2" s="16"/>
    </row>
    <row r="4" spans="1:4" ht="25.65" customHeight="1">
      <c r="A4" s="4" t="s">
        <v>126</v>
      </c>
      <c r="B4" s="4" t="s">
        <v>127</v>
      </c>
      <c r="C4" s="4" t="s">
        <v>128</v>
      </c>
    </row>
    <row r="5" spans="1:4" ht="23.25" customHeight="1">
      <c r="A5" t="s">
        <v>129</v>
      </c>
      <c r="B5" t="s">
        <v>130</v>
      </c>
      <c r="C5" s="23" t="s">
        <v>192</v>
      </c>
    </row>
    <row r="6" spans="1:4" ht="23.25" customHeight="1">
      <c r="A6" t="s">
        <v>129</v>
      </c>
      <c r="B6" t="s">
        <v>131</v>
      </c>
      <c r="C6" s="10">
        <v>5</v>
      </c>
    </row>
    <row r="7" spans="1:4" ht="23.25" customHeight="1">
      <c r="A7" t="s">
        <v>132</v>
      </c>
      <c r="B7" t="s">
        <v>133</v>
      </c>
      <c r="C7" s="10">
        <f>IF(COUNT(Посадка!D5:D19)=0,"",AVERAGE(Посадка!D5:D19))</f>
        <v>15</v>
      </c>
    </row>
    <row r="8" spans="1:4" ht="23.25" customHeight="1">
      <c r="A8" t="s">
        <v>132</v>
      </c>
      <c r="B8" t="s">
        <v>134</v>
      </c>
      <c r="C8" s="10">
        <f>IF(COUNT(Посадка!E5:E19)=0,"",AVERAGE(Посадка!E5:E19))</f>
        <v>0</v>
      </c>
    </row>
    <row r="9" spans="1:4" ht="23.25" customHeight="1">
      <c r="A9" t="s">
        <v>132</v>
      </c>
      <c r="B9" t="s">
        <v>135</v>
      </c>
      <c r="C9" s="10">
        <f>IF(COUNT(Посадка!H5:H19)=0,"",AVERAGE(Посадка!H5:H19))</f>
        <v>23140</v>
      </c>
    </row>
    <row r="10" spans="1:4" ht="23.25" customHeight="1">
      <c r="A10" t="s">
        <v>136</v>
      </c>
      <c r="B10" t="s">
        <v>137</v>
      </c>
      <c r="C10" s="10">
        <f>COUNT(Дозатор!D5:D34)</f>
        <v>1</v>
      </c>
    </row>
    <row r="11" spans="1:4" ht="23.25" customHeight="1">
      <c r="A11" t="s">
        <v>136</v>
      </c>
      <c r="B11" t="s">
        <v>138</v>
      </c>
      <c r="C11" s="10">
        <f>IF(COUNT(Дозатор!D5:D34)=0,"",COUNTIF(Дозатор!E5:E34,"Да")/COUNT(Дозатор!D5:D34)*100)</f>
        <v>100</v>
      </c>
    </row>
    <row r="12" spans="1:4" ht="23.25" customHeight="1">
      <c r="A12" t="s">
        <v>9</v>
      </c>
      <c r="B12" t="s">
        <v>139</v>
      </c>
      <c r="C12" s="10">
        <f>COUNTIF(Безопасность!F5:F12,"Пройдено")</f>
        <v>0</v>
      </c>
    </row>
    <row r="13" spans="1:4" ht="23.25" customHeight="1">
      <c r="A13" t="s">
        <v>9</v>
      </c>
      <c r="B13" t="s">
        <v>140</v>
      </c>
      <c r="C13" s="10">
        <f>COUNTIF(Безопасность!F5:F12,"Не пройдено")</f>
        <v>0</v>
      </c>
    </row>
    <row r="14" spans="1:4" ht="23.25" customHeight="1">
      <c r="A14" t="s">
        <v>141</v>
      </c>
      <c r="B14" t="s">
        <v>142</v>
      </c>
      <c r="C14" s="10">
        <f>COUNTIF(GPS!C5:C14,"Да")</f>
        <v>1</v>
      </c>
    </row>
    <row r="15" spans="1:4" ht="23.25" customHeight="1">
      <c r="A15" t="s">
        <v>141</v>
      </c>
      <c r="B15" t="s">
        <v>143</v>
      </c>
      <c r="C15" s="10">
        <v>3</v>
      </c>
    </row>
    <row r="16" spans="1:4" ht="23.25" customHeight="1">
      <c r="A16" t="s">
        <v>144</v>
      </c>
      <c r="B16" t="s">
        <v>145</v>
      </c>
      <c r="C16" s="10" t="str">
        <f>IF(COUNT(Питание!E5:E16)=0,"",AVERAGE(Питание!E5:E16))</f>
        <v/>
      </c>
    </row>
    <row r="17" spans="1:3" ht="23.25" customHeight="1">
      <c r="A17" t="s">
        <v>146</v>
      </c>
      <c r="B17" t="s">
        <v>147</v>
      </c>
      <c r="C17" s="10">
        <f>IF(COUNT('Полный цикл'!F5:F19)=0,"",AVERAGE('Полный цикл'!F5:F19))</f>
        <v>38</v>
      </c>
    </row>
    <row r="18" spans="1:3" ht="23.25" customHeight="1">
      <c r="A18" t="s">
        <v>146</v>
      </c>
      <c r="B18" t="s">
        <v>148</v>
      </c>
      <c r="C18" s="10">
        <f>IF(COUNTIF('Полный цикл'!G5:G19,"Да")+COUNTIF('Полный цикл'!G5:G19,"Нет")=0,"",COUNTIF('Полный цикл'!G5:G19,"Да")/(COUNTIF('Полный цикл'!G5:G19,"Да")+COUNTIF('Полный цикл'!G5:G19,"Нет"))*100)</f>
        <v>100</v>
      </c>
    </row>
    <row r="21" spans="1:3">
      <c r="A21" s="11" t="s">
        <v>149</v>
      </c>
    </row>
    <row r="22" spans="1:3" ht="40.049999999999997" customHeight="1">
      <c r="A22" s="17" t="s">
        <v>150</v>
      </c>
      <c r="B22" s="17"/>
      <c r="C22" s="17"/>
    </row>
  </sheetData>
  <mergeCells count="3">
    <mergeCell ref="A1:D1"/>
    <mergeCell ref="A2:D2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Инструкция</vt:lpstr>
      <vt:lpstr>Паспорт</vt:lpstr>
      <vt:lpstr>Ходовая</vt:lpstr>
      <vt:lpstr>Посадка</vt:lpstr>
      <vt:lpstr>Дозатор</vt:lpstr>
      <vt:lpstr>Безопасность</vt:lpstr>
      <vt:lpstr>GPS</vt:lpstr>
      <vt:lpstr>Питание</vt:lpstr>
      <vt:lpstr>Полный цикл</vt:lpstr>
      <vt:lpstr>Итоги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vayatel</dc:creator>
  <cp:lastModifiedBy>vayatel</cp:lastModifiedBy>
  <dcterms:created xsi:type="dcterms:W3CDTF">2026-10-25T12:37:19Z</dcterms:created>
  <dcterms:modified xsi:type="dcterms:W3CDTF">2026-10-25T12:37:19Z</dcterms:modified>
</cp:coreProperties>
</file>